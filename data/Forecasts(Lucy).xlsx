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_projects\revenue_conference\data\"/>
    </mc:Choice>
  </mc:AlternateContent>
  <xr:revisionPtr revIDLastSave="0" documentId="13_ncr:1_{0DB61E26-7C26-4FCC-9F65-AE4923BC48DD}" xr6:coauthVersionLast="47" xr6:coauthVersionMax="47" xr10:uidLastSave="{00000000-0000-0000-0000-000000000000}"/>
  <bookViews>
    <workbookView xWindow="-109" yWindow="-109" windowWidth="46950" windowHeight="19060" activeTab="2" xr2:uid="{63CEAE48-4BD3-44BA-879B-F8D53787B228}"/>
  </bookViews>
  <sheets>
    <sheet name="Actual" sheetId="1" r:id="rId1"/>
    <sheet name="Forecasts" sheetId="2" r:id="rId2"/>
    <sheet name="Forecasts_Feb2026" sheetId="3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cafr" localSheetId="0">Actual!$C$32</definedName>
    <definedName name="DIFFUSION_INDEXES">#REF!</definedName>
    <definedName name="EXCELFILE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4" i="3" l="1"/>
  <c r="AL34" i="3"/>
  <c r="AG34" i="3"/>
  <c r="Y60" i="3"/>
  <c r="Y59" i="3"/>
  <c r="S60" i="3"/>
  <c r="S59" i="3"/>
  <c r="M60" i="3"/>
  <c r="M59" i="3"/>
  <c r="G59" i="3"/>
  <c r="B60" i="3"/>
  <c r="B59" i="3"/>
  <c r="G60" i="3"/>
  <c r="AV3" i="3"/>
  <c r="Y4" i="3"/>
  <c r="X4" i="3"/>
  <c r="AV4" i="3"/>
  <c r="AV5" i="3"/>
  <c r="AV7" i="3"/>
  <c r="AV8" i="3"/>
  <c r="Y9" i="3"/>
  <c r="X9" i="3"/>
  <c r="AV9" i="3"/>
  <c r="AV10" i="3"/>
  <c r="AV11" i="3"/>
  <c r="AV12" i="3"/>
  <c r="AV13" i="3"/>
  <c r="AV14" i="3"/>
  <c r="AV16" i="3"/>
  <c r="AV17" i="3"/>
  <c r="AV18" i="3"/>
  <c r="AV20" i="3"/>
  <c r="AV21" i="3"/>
  <c r="AV22" i="3"/>
  <c r="Y23" i="3"/>
  <c r="X23" i="3"/>
  <c r="AV23" i="3"/>
  <c r="Y24" i="3"/>
  <c r="X24" i="3"/>
  <c r="AV24" i="3"/>
  <c r="Y25" i="3"/>
  <c r="X25" i="3"/>
  <c r="AV25" i="3"/>
  <c r="AV26" i="3"/>
  <c r="AV27" i="3"/>
  <c r="AV29" i="3"/>
  <c r="AV33" i="3"/>
  <c r="Y34" i="3"/>
  <c r="X34" i="3"/>
  <c r="AV34" i="3"/>
  <c r="AV38" i="3"/>
  <c r="AV39" i="3"/>
  <c r="AV40" i="3"/>
  <c r="AV41" i="3"/>
  <c r="AV42" i="3"/>
  <c r="AV43" i="3"/>
  <c r="AV44" i="3"/>
  <c r="Y45" i="3"/>
  <c r="X45" i="3"/>
  <c r="AV45" i="3"/>
  <c r="AV46" i="3"/>
  <c r="Y47" i="3"/>
  <c r="X47" i="3"/>
  <c r="AV47" i="3"/>
  <c r="Y48" i="3"/>
  <c r="X48" i="3"/>
  <c r="AV48" i="3"/>
  <c r="AV49" i="3"/>
  <c r="AV50" i="3"/>
  <c r="AV51" i="3"/>
  <c r="AV52" i="3"/>
  <c r="AV57" i="3"/>
  <c r="AV58" i="3"/>
  <c r="AV59" i="3"/>
  <c r="AV60" i="3"/>
  <c r="W3" i="3"/>
  <c r="AU3" i="3"/>
  <c r="BF4" i="1"/>
  <c r="W4" i="3"/>
  <c r="AU4" i="3"/>
  <c r="W5" i="3"/>
  <c r="AU5" i="3"/>
  <c r="W7" i="3"/>
  <c r="AU7" i="3"/>
  <c r="W8" i="3"/>
  <c r="AU8" i="3"/>
  <c r="BF9" i="1"/>
  <c r="W9" i="3"/>
  <c r="AU9" i="3"/>
  <c r="W10" i="3"/>
  <c r="AU10" i="3"/>
  <c r="W11" i="3"/>
  <c r="AU11" i="3"/>
  <c r="W12" i="3"/>
  <c r="AU12" i="3"/>
  <c r="W13" i="3"/>
  <c r="AU13" i="3"/>
  <c r="W14" i="3"/>
  <c r="AU14" i="3"/>
  <c r="W16" i="3"/>
  <c r="AU16" i="3"/>
  <c r="W17" i="3"/>
  <c r="AU17" i="3"/>
  <c r="W18" i="3"/>
  <c r="AU18" i="3"/>
  <c r="W20" i="3"/>
  <c r="AU20" i="3"/>
  <c r="W21" i="3"/>
  <c r="AU21" i="3"/>
  <c r="W22" i="3"/>
  <c r="AU22" i="3"/>
  <c r="W23" i="3"/>
  <c r="AU23" i="3"/>
  <c r="BF24" i="1"/>
  <c r="W24" i="3"/>
  <c r="AU24" i="3"/>
  <c r="BF25" i="1"/>
  <c r="W25" i="3"/>
  <c r="AU25" i="3"/>
  <c r="W26" i="3"/>
  <c r="AU26" i="3"/>
  <c r="W27" i="3"/>
  <c r="AU27" i="3"/>
  <c r="W29" i="3"/>
  <c r="AU29" i="3"/>
  <c r="W33" i="3"/>
  <c r="AU33" i="3"/>
  <c r="BF34" i="1"/>
  <c r="W34" i="3"/>
  <c r="AU34" i="3"/>
  <c r="W38" i="3"/>
  <c r="AU38" i="3"/>
  <c r="W39" i="3"/>
  <c r="AU39" i="3"/>
  <c r="W40" i="3"/>
  <c r="AU40" i="3"/>
  <c r="W41" i="3"/>
  <c r="AU41" i="3"/>
  <c r="W42" i="3"/>
  <c r="AU42" i="3"/>
  <c r="W43" i="3"/>
  <c r="AU43" i="3"/>
  <c r="W44" i="3"/>
  <c r="AU44" i="3"/>
  <c r="BF45" i="1"/>
  <c r="W45" i="3"/>
  <c r="AU45" i="3"/>
  <c r="W46" i="3"/>
  <c r="AU46" i="3"/>
  <c r="BF47" i="1"/>
  <c r="W47" i="3"/>
  <c r="AU47" i="3"/>
  <c r="BF48" i="1"/>
  <c r="W48" i="3"/>
  <c r="AU48" i="3"/>
  <c r="W49" i="3"/>
  <c r="AU49" i="3"/>
  <c r="W50" i="3"/>
  <c r="AU50" i="3"/>
  <c r="W51" i="3"/>
  <c r="AU51" i="3"/>
  <c r="W52" i="3"/>
  <c r="AU52" i="3"/>
  <c r="AU57" i="3"/>
  <c r="AU58" i="3"/>
  <c r="AU59" i="3"/>
  <c r="AU60" i="3"/>
  <c r="V3" i="3"/>
  <c r="AT3" i="3"/>
  <c r="BE4" i="1"/>
  <c r="V4" i="3"/>
  <c r="AT4" i="3"/>
  <c r="V5" i="3"/>
  <c r="AT5" i="3"/>
  <c r="V7" i="3"/>
  <c r="AT7" i="3"/>
  <c r="V8" i="3"/>
  <c r="AT8" i="3"/>
  <c r="BE9" i="1"/>
  <c r="V9" i="3"/>
  <c r="AT9" i="3"/>
  <c r="V10" i="3"/>
  <c r="AT10" i="3"/>
  <c r="V11" i="3"/>
  <c r="AT11" i="3"/>
  <c r="V12" i="3"/>
  <c r="AT12" i="3"/>
  <c r="V13" i="3"/>
  <c r="AT13" i="3"/>
  <c r="V14" i="3"/>
  <c r="AT14" i="3"/>
  <c r="V16" i="3"/>
  <c r="AT16" i="3"/>
  <c r="V17" i="3"/>
  <c r="AT17" i="3"/>
  <c r="V18" i="3"/>
  <c r="AT18" i="3"/>
  <c r="V20" i="3"/>
  <c r="AT20" i="3"/>
  <c r="V21" i="3"/>
  <c r="AT21" i="3"/>
  <c r="V22" i="3"/>
  <c r="AT22" i="3"/>
  <c r="V23" i="3"/>
  <c r="AT23" i="3"/>
  <c r="BE24" i="1"/>
  <c r="V24" i="3"/>
  <c r="AT24" i="3"/>
  <c r="BE25" i="1"/>
  <c r="V25" i="3"/>
  <c r="AT25" i="3"/>
  <c r="V26" i="3"/>
  <c r="AT26" i="3"/>
  <c r="V27" i="3"/>
  <c r="AT27" i="3"/>
  <c r="V29" i="3"/>
  <c r="AT29" i="3"/>
  <c r="V33" i="3"/>
  <c r="AT33" i="3"/>
  <c r="BE34" i="1"/>
  <c r="V34" i="3"/>
  <c r="AT34" i="3"/>
  <c r="V38" i="3"/>
  <c r="AT38" i="3"/>
  <c r="V39" i="3"/>
  <c r="AT39" i="3"/>
  <c r="V40" i="3"/>
  <c r="AT40" i="3"/>
  <c r="V41" i="3"/>
  <c r="AT41" i="3"/>
  <c r="V42" i="3"/>
  <c r="AT42" i="3"/>
  <c r="V43" i="3"/>
  <c r="AT43" i="3"/>
  <c r="V44" i="3"/>
  <c r="AT44" i="3"/>
  <c r="BE45" i="1"/>
  <c r="V45" i="3"/>
  <c r="AT45" i="3"/>
  <c r="V46" i="3"/>
  <c r="AT46" i="3"/>
  <c r="BE47" i="1"/>
  <c r="V47" i="3"/>
  <c r="AT47" i="3"/>
  <c r="BE48" i="1"/>
  <c r="V48" i="3"/>
  <c r="AT48" i="3"/>
  <c r="V49" i="3"/>
  <c r="AT49" i="3"/>
  <c r="V50" i="3"/>
  <c r="AT50" i="3"/>
  <c r="V51" i="3"/>
  <c r="AT51" i="3"/>
  <c r="V52" i="3"/>
  <c r="AT52" i="3"/>
  <c r="AT57" i="3"/>
  <c r="AT58" i="3"/>
  <c r="AT59" i="3"/>
  <c r="AT60" i="3"/>
  <c r="U3" i="3"/>
  <c r="AS3" i="3"/>
  <c r="BD4" i="1"/>
  <c r="U4" i="3"/>
  <c r="AS4" i="3"/>
  <c r="U5" i="3"/>
  <c r="AS5" i="3"/>
  <c r="U7" i="3"/>
  <c r="AS7" i="3"/>
  <c r="U8" i="3"/>
  <c r="AS8" i="3"/>
  <c r="BD9" i="1"/>
  <c r="U9" i="3"/>
  <c r="AS9" i="3"/>
  <c r="U10" i="3"/>
  <c r="AS10" i="3"/>
  <c r="U11" i="3"/>
  <c r="AS11" i="3"/>
  <c r="U12" i="3"/>
  <c r="AS12" i="3"/>
  <c r="U13" i="3"/>
  <c r="AS13" i="3"/>
  <c r="U14" i="3"/>
  <c r="AS14" i="3"/>
  <c r="U16" i="3"/>
  <c r="AS16" i="3"/>
  <c r="U17" i="3"/>
  <c r="AS17" i="3"/>
  <c r="U18" i="3"/>
  <c r="AS18" i="3"/>
  <c r="U20" i="3"/>
  <c r="AS20" i="3"/>
  <c r="U21" i="3"/>
  <c r="AS21" i="3"/>
  <c r="U22" i="3"/>
  <c r="AS22" i="3"/>
  <c r="U23" i="3"/>
  <c r="AS23" i="3"/>
  <c r="BD24" i="1"/>
  <c r="U24" i="3"/>
  <c r="AS24" i="3"/>
  <c r="BD25" i="1"/>
  <c r="U25" i="3"/>
  <c r="AS25" i="3"/>
  <c r="U26" i="3"/>
  <c r="AS26" i="3"/>
  <c r="U27" i="3"/>
  <c r="AS27" i="3"/>
  <c r="U29" i="3"/>
  <c r="AS29" i="3"/>
  <c r="U33" i="3"/>
  <c r="AS33" i="3"/>
  <c r="BD34" i="1"/>
  <c r="U34" i="3"/>
  <c r="AS34" i="3"/>
  <c r="U38" i="3"/>
  <c r="AS38" i="3"/>
  <c r="U39" i="3"/>
  <c r="AS39" i="3"/>
  <c r="U40" i="3"/>
  <c r="AS40" i="3"/>
  <c r="U41" i="3"/>
  <c r="AS41" i="3"/>
  <c r="U42" i="3"/>
  <c r="AS42" i="3"/>
  <c r="U43" i="3"/>
  <c r="AS43" i="3"/>
  <c r="U44" i="3"/>
  <c r="AS44" i="3"/>
  <c r="BD45" i="1"/>
  <c r="U45" i="3"/>
  <c r="AS45" i="3"/>
  <c r="U46" i="3"/>
  <c r="AS46" i="3"/>
  <c r="BD47" i="1"/>
  <c r="U47" i="3"/>
  <c r="AS47" i="3"/>
  <c r="BD48" i="1"/>
  <c r="U48" i="3"/>
  <c r="AS48" i="3"/>
  <c r="U49" i="3"/>
  <c r="AS49" i="3"/>
  <c r="U50" i="3"/>
  <c r="AS50" i="3"/>
  <c r="U51" i="3"/>
  <c r="AS51" i="3"/>
  <c r="U52" i="3"/>
  <c r="AS52" i="3"/>
  <c r="AS57" i="3"/>
  <c r="AS58" i="3"/>
  <c r="AS59" i="3"/>
  <c r="AS60" i="3"/>
  <c r="AQ3" i="3"/>
  <c r="AQ5" i="3"/>
  <c r="AQ7" i="3"/>
  <c r="S8" i="3"/>
  <c r="R8" i="3"/>
  <c r="AQ8" i="3"/>
  <c r="S9" i="3"/>
  <c r="R9" i="3"/>
  <c r="AQ9" i="3"/>
  <c r="AQ11" i="3"/>
  <c r="AQ12" i="3"/>
  <c r="AQ13" i="3"/>
  <c r="AQ14" i="3"/>
  <c r="AQ16" i="3"/>
  <c r="AQ17" i="3"/>
  <c r="AQ18" i="3"/>
  <c r="AQ20" i="3"/>
  <c r="AQ21" i="3"/>
  <c r="AQ22" i="3"/>
  <c r="S23" i="3"/>
  <c r="R23" i="3"/>
  <c r="AQ23" i="3"/>
  <c r="S24" i="3"/>
  <c r="R24" i="3"/>
  <c r="AQ24" i="3"/>
  <c r="AQ25" i="3"/>
  <c r="S26" i="3"/>
  <c r="R26" i="3"/>
  <c r="AQ26" i="3"/>
  <c r="AQ27" i="3"/>
  <c r="AQ29" i="3"/>
  <c r="AQ33" i="3"/>
  <c r="S38" i="3"/>
  <c r="R38" i="3"/>
  <c r="AQ38" i="3"/>
  <c r="AQ40" i="3"/>
  <c r="AQ41" i="3"/>
  <c r="AQ42" i="3"/>
  <c r="AQ43" i="3"/>
  <c r="AQ44" i="3"/>
  <c r="AQ45" i="3"/>
  <c r="AQ46" i="3"/>
  <c r="AQ47" i="3"/>
  <c r="S48" i="3"/>
  <c r="R48" i="3"/>
  <c r="AQ48" i="3"/>
  <c r="S49" i="3"/>
  <c r="R49" i="3"/>
  <c r="AQ49" i="3"/>
  <c r="AQ50" i="3"/>
  <c r="AQ51" i="3"/>
  <c r="AQ52" i="3"/>
  <c r="AQ57" i="3"/>
  <c r="AQ58" i="3"/>
  <c r="AQ59" i="3"/>
  <c r="AQ60" i="3"/>
  <c r="Q3" i="3"/>
  <c r="AP3" i="3"/>
  <c r="Q5" i="3"/>
  <c r="AP5" i="3"/>
  <c r="Q7" i="3"/>
  <c r="AP7" i="3"/>
  <c r="AQ8" i="1"/>
  <c r="Q8" i="3"/>
  <c r="AP8" i="3"/>
  <c r="AQ9" i="1"/>
  <c r="Q9" i="3"/>
  <c r="AP9" i="3"/>
  <c r="Q11" i="3"/>
  <c r="AP11" i="3"/>
  <c r="Q12" i="3"/>
  <c r="AP12" i="3"/>
  <c r="Q13" i="3"/>
  <c r="AP13" i="3"/>
  <c r="Q14" i="3"/>
  <c r="AP14" i="3"/>
  <c r="Q16" i="3"/>
  <c r="AP16" i="3"/>
  <c r="Q17" i="3"/>
  <c r="AP17" i="3"/>
  <c r="Q18" i="3"/>
  <c r="AP18" i="3"/>
  <c r="Q20" i="3"/>
  <c r="AP20" i="3"/>
  <c r="Q21" i="3"/>
  <c r="AP21" i="3"/>
  <c r="Q22" i="3"/>
  <c r="AP22" i="3"/>
  <c r="Q23" i="3"/>
  <c r="AP23" i="3"/>
  <c r="AQ24" i="1"/>
  <c r="Q24" i="3"/>
  <c r="AP24" i="3"/>
  <c r="Q25" i="3"/>
  <c r="AP25" i="3"/>
  <c r="AQ26" i="1"/>
  <c r="Q26" i="3"/>
  <c r="AP26" i="3"/>
  <c r="Q27" i="3"/>
  <c r="AP27" i="3"/>
  <c r="Q29" i="3"/>
  <c r="AP29" i="3"/>
  <c r="Q33" i="3"/>
  <c r="AP33" i="3"/>
  <c r="Q34" i="3"/>
  <c r="AP34" i="3"/>
  <c r="AQ38" i="1"/>
  <c r="Q38" i="3"/>
  <c r="AP38" i="3"/>
  <c r="Q40" i="3"/>
  <c r="AP40" i="3"/>
  <c r="Q41" i="3"/>
  <c r="AP41" i="3"/>
  <c r="Q42" i="3"/>
  <c r="AP42" i="3"/>
  <c r="Q43" i="3"/>
  <c r="AP43" i="3"/>
  <c r="Q44" i="3"/>
  <c r="AP44" i="3"/>
  <c r="Q45" i="3"/>
  <c r="AP45" i="3"/>
  <c r="Q46" i="3"/>
  <c r="AP46" i="3"/>
  <c r="Q47" i="3"/>
  <c r="AP47" i="3"/>
  <c r="AQ48" i="1"/>
  <c r="Q48" i="3"/>
  <c r="AP48" i="3"/>
  <c r="AQ49" i="1"/>
  <c r="Q49" i="3"/>
  <c r="AP49" i="3"/>
  <c r="Q50" i="3"/>
  <c r="AP50" i="3"/>
  <c r="Q51" i="3"/>
  <c r="AP51" i="3"/>
  <c r="Q52" i="3"/>
  <c r="AP52" i="3"/>
  <c r="AP57" i="3"/>
  <c r="AP58" i="3"/>
  <c r="AP59" i="3"/>
  <c r="AP60" i="3"/>
  <c r="P3" i="3"/>
  <c r="AO3" i="3"/>
  <c r="P5" i="3"/>
  <c r="AO5" i="3"/>
  <c r="P7" i="3"/>
  <c r="AO7" i="3"/>
  <c r="AP8" i="1"/>
  <c r="P8" i="3"/>
  <c r="AO8" i="3"/>
  <c r="AP9" i="1"/>
  <c r="P9" i="3"/>
  <c r="AO9" i="3"/>
  <c r="P11" i="3"/>
  <c r="AO11" i="3"/>
  <c r="P12" i="3"/>
  <c r="AO12" i="3"/>
  <c r="P13" i="3"/>
  <c r="AO13" i="3"/>
  <c r="P14" i="3"/>
  <c r="AO14" i="3"/>
  <c r="P16" i="3"/>
  <c r="AO16" i="3"/>
  <c r="P17" i="3"/>
  <c r="AO17" i="3"/>
  <c r="P18" i="3"/>
  <c r="AO18" i="3"/>
  <c r="P20" i="3"/>
  <c r="AO20" i="3"/>
  <c r="P21" i="3"/>
  <c r="AO21" i="3"/>
  <c r="P22" i="3"/>
  <c r="AO22" i="3"/>
  <c r="P23" i="3"/>
  <c r="AO23" i="3"/>
  <c r="AP24" i="1"/>
  <c r="P24" i="3"/>
  <c r="AO24" i="3"/>
  <c r="P25" i="3"/>
  <c r="AO25" i="3"/>
  <c r="AP26" i="1"/>
  <c r="P26" i="3"/>
  <c r="AO26" i="3"/>
  <c r="P27" i="3"/>
  <c r="AO27" i="3"/>
  <c r="P29" i="3"/>
  <c r="AO29" i="3"/>
  <c r="P33" i="3"/>
  <c r="AO33" i="3"/>
  <c r="P34" i="3"/>
  <c r="AO34" i="3"/>
  <c r="AP38" i="1"/>
  <c r="P38" i="3"/>
  <c r="AO38" i="3"/>
  <c r="P40" i="3"/>
  <c r="AO40" i="3"/>
  <c r="P41" i="3"/>
  <c r="AO41" i="3"/>
  <c r="P42" i="3"/>
  <c r="AO42" i="3"/>
  <c r="P43" i="3"/>
  <c r="AO43" i="3"/>
  <c r="P44" i="3"/>
  <c r="AO44" i="3"/>
  <c r="P45" i="3"/>
  <c r="AO45" i="3"/>
  <c r="P46" i="3"/>
  <c r="AO46" i="3"/>
  <c r="P47" i="3"/>
  <c r="AO47" i="3"/>
  <c r="AP48" i="1"/>
  <c r="P48" i="3"/>
  <c r="AO48" i="3"/>
  <c r="AP49" i="1"/>
  <c r="P49" i="3"/>
  <c r="AO49" i="3"/>
  <c r="P50" i="3"/>
  <c r="AO50" i="3"/>
  <c r="P51" i="3"/>
  <c r="AO51" i="3"/>
  <c r="P52" i="3"/>
  <c r="AO52" i="3"/>
  <c r="AO57" i="3"/>
  <c r="AO58" i="3"/>
  <c r="AO59" i="3"/>
  <c r="AO60" i="3"/>
  <c r="O3" i="3"/>
  <c r="AN3" i="3"/>
  <c r="O5" i="3"/>
  <c r="AN5" i="3"/>
  <c r="O7" i="3"/>
  <c r="AN7" i="3"/>
  <c r="AO8" i="1"/>
  <c r="O8" i="3"/>
  <c r="AN8" i="3"/>
  <c r="AO9" i="1"/>
  <c r="O9" i="3"/>
  <c r="AN9" i="3"/>
  <c r="O11" i="3"/>
  <c r="AN11" i="3"/>
  <c r="O12" i="3"/>
  <c r="AN12" i="3"/>
  <c r="O13" i="3"/>
  <c r="AN13" i="3"/>
  <c r="O14" i="3"/>
  <c r="AN14" i="3"/>
  <c r="O16" i="3"/>
  <c r="AN16" i="3"/>
  <c r="O17" i="3"/>
  <c r="AN17" i="3"/>
  <c r="O18" i="3"/>
  <c r="AN18" i="3"/>
  <c r="O20" i="3"/>
  <c r="AN20" i="3"/>
  <c r="O21" i="3"/>
  <c r="AN21" i="3"/>
  <c r="O22" i="3"/>
  <c r="AN22" i="3"/>
  <c r="O23" i="3"/>
  <c r="AN23" i="3"/>
  <c r="AO24" i="1"/>
  <c r="O24" i="3"/>
  <c r="AN24" i="3"/>
  <c r="O25" i="3"/>
  <c r="AN25" i="3"/>
  <c r="AO26" i="1"/>
  <c r="O26" i="3"/>
  <c r="AN26" i="3"/>
  <c r="O27" i="3"/>
  <c r="AN27" i="3"/>
  <c r="O29" i="3"/>
  <c r="AN29" i="3"/>
  <c r="O33" i="3"/>
  <c r="AN33" i="3"/>
  <c r="O34" i="3"/>
  <c r="AN34" i="3"/>
  <c r="AO38" i="1"/>
  <c r="O38" i="3"/>
  <c r="AN38" i="3"/>
  <c r="O40" i="3"/>
  <c r="AN40" i="3"/>
  <c r="O41" i="3"/>
  <c r="AN41" i="3"/>
  <c r="O42" i="3"/>
  <c r="AN42" i="3"/>
  <c r="O43" i="3"/>
  <c r="AN43" i="3"/>
  <c r="O44" i="3"/>
  <c r="AN44" i="3"/>
  <c r="O45" i="3"/>
  <c r="AN45" i="3"/>
  <c r="O46" i="3"/>
  <c r="AN46" i="3"/>
  <c r="O47" i="3"/>
  <c r="AN47" i="3"/>
  <c r="AO48" i="1"/>
  <c r="O48" i="3"/>
  <c r="AN48" i="3"/>
  <c r="AO49" i="1"/>
  <c r="O49" i="3"/>
  <c r="AN49" i="3"/>
  <c r="O50" i="3"/>
  <c r="AN50" i="3"/>
  <c r="O51" i="3"/>
  <c r="AN51" i="3"/>
  <c r="O52" i="3"/>
  <c r="AN52" i="3"/>
  <c r="AN57" i="3"/>
  <c r="AN58" i="3"/>
  <c r="AN59" i="3"/>
  <c r="AN60" i="3"/>
  <c r="AL3" i="3"/>
  <c r="AL4" i="3"/>
  <c r="AL5" i="3"/>
  <c r="AL7" i="3"/>
  <c r="AL8" i="3"/>
  <c r="M9" i="3"/>
  <c r="L9" i="3"/>
  <c r="AL9" i="3"/>
  <c r="AL10" i="3"/>
  <c r="AL11" i="3"/>
  <c r="AL12" i="3"/>
  <c r="AL13" i="3"/>
  <c r="AL14" i="3"/>
  <c r="AL16" i="3"/>
  <c r="AL17" i="3"/>
  <c r="M18" i="3"/>
  <c r="L18" i="3"/>
  <c r="AL18" i="3"/>
  <c r="AL20" i="3"/>
  <c r="AL21" i="3"/>
  <c r="AL22" i="3"/>
  <c r="M23" i="3"/>
  <c r="L23" i="3"/>
  <c r="AL23" i="3"/>
  <c r="AL24" i="3"/>
  <c r="AL25" i="3"/>
  <c r="AL26" i="3"/>
  <c r="AL27" i="3"/>
  <c r="AL29" i="3"/>
  <c r="AL33" i="3"/>
  <c r="AL38" i="3"/>
  <c r="AL39" i="3"/>
  <c r="AL40" i="3"/>
  <c r="M41" i="3"/>
  <c r="L41" i="3"/>
  <c r="AL41" i="3"/>
  <c r="AL42" i="3"/>
  <c r="AL43" i="3"/>
  <c r="AL46" i="3"/>
  <c r="AL47" i="3"/>
  <c r="AL48" i="3"/>
  <c r="AL57" i="3"/>
  <c r="AL58" i="3"/>
  <c r="AL59" i="3"/>
  <c r="AL60" i="3"/>
  <c r="K3" i="3"/>
  <c r="AK3" i="3"/>
  <c r="K4" i="3"/>
  <c r="AK4" i="3"/>
  <c r="K5" i="3"/>
  <c r="AK5" i="3"/>
  <c r="K7" i="3"/>
  <c r="AK7" i="3"/>
  <c r="K8" i="3"/>
  <c r="AK8" i="3"/>
  <c r="AC9" i="1"/>
  <c r="K9" i="3"/>
  <c r="AK9" i="3"/>
  <c r="K10" i="3"/>
  <c r="AK10" i="3"/>
  <c r="K11" i="3"/>
  <c r="AK11" i="3"/>
  <c r="K12" i="3"/>
  <c r="AK12" i="3"/>
  <c r="K13" i="3"/>
  <c r="AK13" i="3"/>
  <c r="K14" i="3"/>
  <c r="AK14" i="3"/>
  <c r="K16" i="3"/>
  <c r="AK16" i="3"/>
  <c r="K17" i="3"/>
  <c r="AK17" i="3"/>
  <c r="AC18" i="1"/>
  <c r="K18" i="3"/>
  <c r="AK18" i="3"/>
  <c r="K20" i="3"/>
  <c r="AK20" i="3"/>
  <c r="K21" i="3"/>
  <c r="AK21" i="3"/>
  <c r="K22" i="3"/>
  <c r="AK22" i="3"/>
  <c r="K23" i="3"/>
  <c r="AK23" i="3"/>
  <c r="K24" i="3"/>
  <c r="AK24" i="3"/>
  <c r="K25" i="3"/>
  <c r="AK25" i="3"/>
  <c r="K26" i="3"/>
  <c r="AK26" i="3"/>
  <c r="K27" i="3"/>
  <c r="AK27" i="3"/>
  <c r="K29" i="3"/>
  <c r="AK29" i="3"/>
  <c r="K33" i="3"/>
  <c r="AK33" i="3"/>
  <c r="K34" i="3"/>
  <c r="AK34" i="3"/>
  <c r="K38" i="3"/>
  <c r="AK38" i="3"/>
  <c r="K39" i="3"/>
  <c r="AK39" i="3"/>
  <c r="K40" i="3"/>
  <c r="AK40" i="3"/>
  <c r="AC41" i="1"/>
  <c r="K41" i="3"/>
  <c r="AK41" i="3"/>
  <c r="K42" i="3"/>
  <c r="AK42" i="3"/>
  <c r="K43" i="3"/>
  <c r="AK43" i="3"/>
  <c r="K46" i="3"/>
  <c r="AK46" i="3"/>
  <c r="K47" i="3"/>
  <c r="AK47" i="3"/>
  <c r="K48" i="3"/>
  <c r="AK48" i="3"/>
  <c r="AK57" i="3"/>
  <c r="AK58" i="3"/>
  <c r="AK59" i="3"/>
  <c r="AK60" i="3"/>
  <c r="J3" i="3"/>
  <c r="AJ3" i="3"/>
  <c r="J4" i="3"/>
  <c r="AJ4" i="3"/>
  <c r="J5" i="3"/>
  <c r="AJ5" i="3"/>
  <c r="J7" i="3"/>
  <c r="AJ7" i="3"/>
  <c r="J8" i="3"/>
  <c r="AJ8" i="3"/>
  <c r="AB9" i="1"/>
  <c r="J9" i="3"/>
  <c r="AJ9" i="3"/>
  <c r="J10" i="3"/>
  <c r="AJ10" i="3"/>
  <c r="J11" i="3"/>
  <c r="AJ11" i="3"/>
  <c r="J12" i="3"/>
  <c r="AJ12" i="3"/>
  <c r="J13" i="3"/>
  <c r="AJ13" i="3"/>
  <c r="J14" i="3"/>
  <c r="AJ14" i="3"/>
  <c r="J16" i="3"/>
  <c r="AJ16" i="3"/>
  <c r="J17" i="3"/>
  <c r="AJ17" i="3"/>
  <c r="AB18" i="1"/>
  <c r="J18" i="3"/>
  <c r="AJ18" i="3"/>
  <c r="J20" i="3"/>
  <c r="AJ20" i="3"/>
  <c r="J21" i="3"/>
  <c r="AJ21" i="3"/>
  <c r="J22" i="3"/>
  <c r="AJ22" i="3"/>
  <c r="J23" i="3"/>
  <c r="AJ23" i="3"/>
  <c r="J24" i="3"/>
  <c r="AJ24" i="3"/>
  <c r="J25" i="3"/>
  <c r="AJ25" i="3"/>
  <c r="J26" i="3"/>
  <c r="AJ26" i="3"/>
  <c r="J27" i="3"/>
  <c r="AJ27" i="3"/>
  <c r="J29" i="3"/>
  <c r="AJ29" i="3"/>
  <c r="J33" i="3"/>
  <c r="AJ33" i="3"/>
  <c r="J34" i="3"/>
  <c r="AJ34" i="3"/>
  <c r="J38" i="3"/>
  <c r="AJ38" i="3"/>
  <c r="J39" i="3"/>
  <c r="AJ39" i="3"/>
  <c r="J40" i="3"/>
  <c r="AJ40" i="3"/>
  <c r="AB41" i="1"/>
  <c r="J41" i="3"/>
  <c r="AJ41" i="3"/>
  <c r="J42" i="3"/>
  <c r="AJ42" i="3"/>
  <c r="J43" i="3"/>
  <c r="AJ43" i="3"/>
  <c r="J46" i="3"/>
  <c r="AJ46" i="3"/>
  <c r="J47" i="3"/>
  <c r="AJ47" i="3"/>
  <c r="J48" i="3"/>
  <c r="AJ48" i="3"/>
  <c r="AJ57" i="3"/>
  <c r="AJ58" i="3"/>
  <c r="AJ59" i="3"/>
  <c r="AJ60" i="3"/>
  <c r="I3" i="3"/>
  <c r="AI3" i="3"/>
  <c r="I4" i="3"/>
  <c r="AI4" i="3"/>
  <c r="I5" i="3"/>
  <c r="AI5" i="3"/>
  <c r="I7" i="3"/>
  <c r="AI7" i="3"/>
  <c r="I8" i="3"/>
  <c r="AI8" i="3"/>
  <c r="AA9" i="1"/>
  <c r="I9" i="3"/>
  <c r="AI9" i="3"/>
  <c r="I10" i="3"/>
  <c r="AI10" i="3"/>
  <c r="I11" i="3"/>
  <c r="AI11" i="3"/>
  <c r="I12" i="3"/>
  <c r="AI12" i="3"/>
  <c r="I13" i="3"/>
  <c r="AI13" i="3"/>
  <c r="I14" i="3"/>
  <c r="AI14" i="3"/>
  <c r="I16" i="3"/>
  <c r="AI16" i="3"/>
  <c r="I17" i="3"/>
  <c r="AI17" i="3"/>
  <c r="AA18" i="1"/>
  <c r="I18" i="3"/>
  <c r="AI18" i="3"/>
  <c r="I20" i="3"/>
  <c r="AI20" i="3"/>
  <c r="I21" i="3"/>
  <c r="AI21" i="3"/>
  <c r="I22" i="3"/>
  <c r="AI22" i="3"/>
  <c r="I23" i="3"/>
  <c r="AI23" i="3"/>
  <c r="I24" i="3"/>
  <c r="AI24" i="3"/>
  <c r="I25" i="3"/>
  <c r="AI25" i="3"/>
  <c r="I26" i="3"/>
  <c r="AI26" i="3"/>
  <c r="I27" i="3"/>
  <c r="AI27" i="3"/>
  <c r="I29" i="3"/>
  <c r="AI29" i="3"/>
  <c r="I33" i="3"/>
  <c r="AI33" i="3"/>
  <c r="I34" i="3"/>
  <c r="AI34" i="3"/>
  <c r="I38" i="3"/>
  <c r="AI38" i="3"/>
  <c r="I39" i="3"/>
  <c r="AI39" i="3"/>
  <c r="I40" i="3"/>
  <c r="AI40" i="3"/>
  <c r="AA41" i="1"/>
  <c r="I41" i="3"/>
  <c r="AI41" i="3"/>
  <c r="I42" i="3"/>
  <c r="AI42" i="3"/>
  <c r="I43" i="3"/>
  <c r="AI43" i="3"/>
  <c r="I46" i="3"/>
  <c r="AI46" i="3"/>
  <c r="I47" i="3"/>
  <c r="AI47" i="3"/>
  <c r="I48" i="3"/>
  <c r="AI48" i="3"/>
  <c r="AI57" i="3"/>
  <c r="AI58" i="3"/>
  <c r="AI59" i="3"/>
  <c r="AI60" i="3"/>
  <c r="AG3" i="3"/>
  <c r="AG5" i="3"/>
  <c r="AG7" i="3"/>
  <c r="AG8" i="3"/>
  <c r="G9" i="3"/>
  <c r="F9" i="3"/>
  <c r="AG9" i="3"/>
  <c r="AG10" i="3"/>
  <c r="AG12" i="3"/>
  <c r="AG13" i="3"/>
  <c r="AG14" i="3"/>
  <c r="AG16" i="3"/>
  <c r="AG17" i="3"/>
  <c r="AG18" i="3"/>
  <c r="AG20" i="3"/>
  <c r="AG21" i="3"/>
  <c r="AG22" i="3"/>
  <c r="G23" i="3"/>
  <c r="F23" i="3"/>
  <c r="AG23" i="3"/>
  <c r="G24" i="3"/>
  <c r="F24" i="3"/>
  <c r="AG24" i="3"/>
  <c r="AG25" i="3"/>
  <c r="AG26" i="3"/>
  <c r="G27" i="3"/>
  <c r="F27" i="3"/>
  <c r="AG27" i="3"/>
  <c r="AG29" i="3"/>
  <c r="AG33" i="3"/>
  <c r="AG38" i="3"/>
  <c r="AG39" i="3"/>
  <c r="AG40" i="3"/>
  <c r="AG41" i="3"/>
  <c r="AG42" i="3"/>
  <c r="AG46" i="3"/>
  <c r="AG47" i="3"/>
  <c r="AG48" i="3"/>
  <c r="AG57" i="3"/>
  <c r="AG58" i="3"/>
  <c r="AG59" i="3"/>
  <c r="AG60" i="3"/>
  <c r="E3" i="3"/>
  <c r="AF3" i="3"/>
  <c r="E5" i="3"/>
  <c r="AF5" i="3"/>
  <c r="E7" i="3"/>
  <c r="AF7" i="3"/>
  <c r="E8" i="3"/>
  <c r="AF8" i="3"/>
  <c r="O9" i="1"/>
  <c r="E9" i="3"/>
  <c r="AF9" i="3"/>
  <c r="E10" i="3"/>
  <c r="AF10" i="3"/>
  <c r="E12" i="3"/>
  <c r="AF12" i="3"/>
  <c r="E13" i="3"/>
  <c r="AF13" i="3"/>
  <c r="E14" i="3"/>
  <c r="AF14" i="3"/>
  <c r="E16" i="3"/>
  <c r="AF16" i="3"/>
  <c r="E17" i="3"/>
  <c r="AF17" i="3"/>
  <c r="E18" i="3"/>
  <c r="AF18" i="3"/>
  <c r="E20" i="3"/>
  <c r="AF20" i="3"/>
  <c r="E21" i="3"/>
  <c r="AF21" i="3"/>
  <c r="E22" i="3"/>
  <c r="AF22" i="3"/>
  <c r="E23" i="3"/>
  <c r="AF23" i="3"/>
  <c r="O24" i="1"/>
  <c r="E24" i="3"/>
  <c r="AF24" i="3"/>
  <c r="E25" i="3"/>
  <c r="AF25" i="3"/>
  <c r="E26" i="3"/>
  <c r="AF26" i="3"/>
  <c r="O27" i="1"/>
  <c r="E27" i="3"/>
  <c r="AF27" i="3"/>
  <c r="E29" i="3"/>
  <c r="AF29" i="3"/>
  <c r="E33" i="3"/>
  <c r="AF33" i="3"/>
  <c r="E34" i="3"/>
  <c r="AF34" i="3"/>
  <c r="E38" i="3"/>
  <c r="AF38" i="3"/>
  <c r="E39" i="3"/>
  <c r="AF39" i="3"/>
  <c r="E40" i="3"/>
  <c r="AF40" i="3"/>
  <c r="E41" i="3"/>
  <c r="AF41" i="3"/>
  <c r="E42" i="3"/>
  <c r="AF42" i="3"/>
  <c r="E46" i="3"/>
  <c r="AF46" i="3"/>
  <c r="E47" i="3"/>
  <c r="AF47" i="3"/>
  <c r="E48" i="3"/>
  <c r="AF48" i="3"/>
  <c r="AF57" i="3"/>
  <c r="AF58" i="3"/>
  <c r="AF59" i="3"/>
  <c r="AF60" i="3"/>
  <c r="D3" i="3"/>
  <c r="AE3" i="3"/>
  <c r="D5" i="3"/>
  <c r="AE5" i="3"/>
  <c r="D7" i="3"/>
  <c r="AE7" i="3"/>
  <c r="D8" i="3"/>
  <c r="AE8" i="3"/>
  <c r="N9" i="1"/>
  <c r="D9" i="3"/>
  <c r="AE9" i="3"/>
  <c r="D10" i="3"/>
  <c r="AE10" i="3"/>
  <c r="D12" i="3"/>
  <c r="AE12" i="3"/>
  <c r="D13" i="3"/>
  <c r="AE13" i="3"/>
  <c r="D14" i="3"/>
  <c r="AE14" i="3"/>
  <c r="D16" i="3"/>
  <c r="AE16" i="3"/>
  <c r="D17" i="3"/>
  <c r="AE17" i="3"/>
  <c r="D18" i="3"/>
  <c r="AE18" i="3"/>
  <c r="D20" i="3"/>
  <c r="AE20" i="3"/>
  <c r="D21" i="3"/>
  <c r="AE21" i="3"/>
  <c r="D22" i="3"/>
  <c r="AE22" i="3"/>
  <c r="D23" i="3"/>
  <c r="AE23" i="3"/>
  <c r="N24" i="1"/>
  <c r="D24" i="3"/>
  <c r="AE24" i="3"/>
  <c r="D25" i="3"/>
  <c r="AE25" i="3"/>
  <c r="D26" i="3"/>
  <c r="AE26" i="3"/>
  <c r="N27" i="1"/>
  <c r="D27" i="3"/>
  <c r="AE27" i="3"/>
  <c r="D29" i="3"/>
  <c r="AE29" i="3"/>
  <c r="D33" i="3"/>
  <c r="AE33" i="3"/>
  <c r="D34" i="3"/>
  <c r="AE34" i="3"/>
  <c r="D38" i="3"/>
  <c r="AE38" i="3"/>
  <c r="D39" i="3"/>
  <c r="AE39" i="3"/>
  <c r="D40" i="3"/>
  <c r="AE40" i="3"/>
  <c r="D41" i="3"/>
  <c r="AE41" i="3"/>
  <c r="D42" i="3"/>
  <c r="AE42" i="3"/>
  <c r="D46" i="3"/>
  <c r="AE46" i="3"/>
  <c r="D47" i="3"/>
  <c r="AE47" i="3"/>
  <c r="D48" i="3"/>
  <c r="AE48" i="3"/>
  <c r="AE57" i="3"/>
  <c r="AE58" i="3"/>
  <c r="AE59" i="3"/>
  <c r="AE60" i="3"/>
  <c r="C3" i="3"/>
  <c r="AD3" i="3"/>
  <c r="C5" i="3"/>
  <c r="AD5" i="3"/>
  <c r="C7" i="3"/>
  <c r="AD7" i="3"/>
  <c r="C8" i="3"/>
  <c r="AD8" i="3"/>
  <c r="M9" i="1"/>
  <c r="C9" i="3"/>
  <c r="AD9" i="3"/>
  <c r="C10" i="3"/>
  <c r="AD10" i="3"/>
  <c r="C12" i="3"/>
  <c r="AD12" i="3"/>
  <c r="C13" i="3"/>
  <c r="AD13" i="3"/>
  <c r="C14" i="3"/>
  <c r="AD14" i="3"/>
  <c r="C16" i="3"/>
  <c r="AD16" i="3"/>
  <c r="C17" i="3"/>
  <c r="AD17" i="3"/>
  <c r="C18" i="3"/>
  <c r="AD18" i="3"/>
  <c r="C20" i="3"/>
  <c r="AD20" i="3"/>
  <c r="C21" i="3"/>
  <c r="AD21" i="3"/>
  <c r="C22" i="3"/>
  <c r="AD22" i="3"/>
  <c r="C23" i="3"/>
  <c r="AD23" i="3"/>
  <c r="M24" i="1"/>
  <c r="C24" i="3"/>
  <c r="AD24" i="3"/>
  <c r="C25" i="3"/>
  <c r="AD25" i="3"/>
  <c r="C26" i="3"/>
  <c r="AD26" i="3"/>
  <c r="C27" i="3"/>
  <c r="AD27" i="3"/>
  <c r="C29" i="3"/>
  <c r="AD29" i="3"/>
  <c r="C33" i="3"/>
  <c r="AD33" i="3"/>
  <c r="C34" i="3"/>
  <c r="AD34" i="3"/>
  <c r="C38" i="3"/>
  <c r="AD38" i="3"/>
  <c r="C39" i="3"/>
  <c r="AD39" i="3"/>
  <c r="C40" i="3"/>
  <c r="AD40" i="3"/>
  <c r="C41" i="3"/>
  <c r="AD41" i="3"/>
  <c r="C42" i="3"/>
  <c r="AD42" i="3"/>
  <c r="C46" i="3"/>
  <c r="AD46" i="3"/>
  <c r="C47" i="3"/>
  <c r="AD47" i="3"/>
  <c r="C48" i="3"/>
  <c r="AD48" i="3"/>
  <c r="AD57" i="3"/>
  <c r="AD58" i="3"/>
  <c r="AD59" i="3"/>
  <c r="AD60" i="3"/>
  <c r="AV54" i="3"/>
  <c r="AU54" i="3"/>
  <c r="AT54" i="3"/>
  <c r="AS54" i="3"/>
  <c r="AQ54" i="3"/>
  <c r="AP54" i="3"/>
  <c r="AO54" i="3"/>
  <c r="AN54" i="3"/>
  <c r="AL54" i="3"/>
  <c r="AK54" i="3"/>
  <c r="AJ54" i="3"/>
  <c r="AI54" i="3"/>
  <c r="AG54" i="3"/>
  <c r="AF54" i="3"/>
  <c r="AE54" i="3"/>
  <c r="AD54" i="3"/>
  <c r="Y53" i="3"/>
  <c r="Y54" i="3"/>
  <c r="X53" i="3"/>
  <c r="X54" i="3"/>
  <c r="W6" i="3"/>
  <c r="W15" i="3"/>
  <c r="W19" i="3"/>
  <c r="W28" i="3"/>
  <c r="W31" i="3"/>
  <c r="W35" i="3"/>
  <c r="W36" i="3"/>
  <c r="W37" i="3"/>
  <c r="W53" i="3"/>
  <c r="W54" i="3"/>
  <c r="V6" i="3"/>
  <c r="V15" i="3"/>
  <c r="V19" i="3"/>
  <c r="V28" i="3"/>
  <c r="V31" i="3"/>
  <c r="V35" i="3"/>
  <c r="V36" i="3"/>
  <c r="V37" i="3"/>
  <c r="V53" i="3"/>
  <c r="V54" i="3"/>
  <c r="U6" i="3"/>
  <c r="U15" i="3"/>
  <c r="U19" i="3"/>
  <c r="U28" i="3"/>
  <c r="U30" i="3"/>
  <c r="U31" i="3"/>
  <c r="U32" i="3"/>
  <c r="U35" i="3"/>
  <c r="U36" i="3"/>
  <c r="U37" i="3"/>
  <c r="U53" i="3"/>
  <c r="U54" i="3"/>
  <c r="S53" i="3"/>
  <c r="S54" i="3"/>
  <c r="R53" i="3"/>
  <c r="R54" i="3"/>
  <c r="Q4" i="3"/>
  <c r="Q6" i="3"/>
  <c r="Q10" i="3"/>
  <c r="Q15" i="3"/>
  <c r="Q19" i="3"/>
  <c r="Q35" i="3"/>
  <c r="Q36" i="3"/>
  <c r="Q37" i="3"/>
  <c r="Q39" i="3"/>
  <c r="Q53" i="3"/>
  <c r="Q54" i="3"/>
  <c r="P4" i="3"/>
  <c r="P6" i="3"/>
  <c r="P10" i="3"/>
  <c r="P15" i="3"/>
  <c r="P19" i="3"/>
  <c r="P35" i="3"/>
  <c r="P36" i="3"/>
  <c r="P37" i="3"/>
  <c r="P39" i="3"/>
  <c r="P53" i="3"/>
  <c r="P54" i="3"/>
  <c r="O4" i="3"/>
  <c r="O6" i="3"/>
  <c r="O10" i="3"/>
  <c r="O15" i="3"/>
  <c r="O19" i="3"/>
  <c r="O30" i="3"/>
  <c r="O32" i="3"/>
  <c r="O35" i="3"/>
  <c r="O36" i="3"/>
  <c r="O37" i="3"/>
  <c r="O39" i="3"/>
  <c r="O53" i="3"/>
  <c r="O54" i="3"/>
  <c r="M44" i="3"/>
  <c r="M53" i="3"/>
  <c r="M54" i="3"/>
  <c r="L44" i="3"/>
  <c r="L53" i="3"/>
  <c r="L54" i="3"/>
  <c r="AC6" i="1"/>
  <c r="K6" i="3"/>
  <c r="AC15" i="1"/>
  <c r="K15" i="3"/>
  <c r="K19" i="3"/>
  <c r="K28" i="3"/>
  <c r="K31" i="3"/>
  <c r="AC35" i="1"/>
  <c r="K35" i="3"/>
  <c r="K36" i="3"/>
  <c r="K37" i="3"/>
  <c r="AC44" i="1"/>
  <c r="K44" i="3"/>
  <c r="K45" i="3"/>
  <c r="K49" i="3"/>
  <c r="K50" i="3"/>
  <c r="K51" i="3"/>
  <c r="K52" i="3"/>
  <c r="K53" i="3"/>
  <c r="K54" i="3"/>
  <c r="AB6" i="1"/>
  <c r="J6" i="3"/>
  <c r="AB15" i="1"/>
  <c r="J15" i="3"/>
  <c r="J19" i="3"/>
  <c r="J28" i="3"/>
  <c r="J31" i="3"/>
  <c r="AB35" i="1"/>
  <c r="J35" i="3"/>
  <c r="J36" i="3"/>
  <c r="J37" i="3"/>
  <c r="AB44" i="1"/>
  <c r="J44" i="3"/>
  <c r="J45" i="3"/>
  <c r="J49" i="3"/>
  <c r="J50" i="3"/>
  <c r="J51" i="3"/>
  <c r="J52" i="3"/>
  <c r="J53" i="3"/>
  <c r="J54" i="3"/>
  <c r="AA6" i="1"/>
  <c r="I6" i="3"/>
  <c r="AA15" i="1"/>
  <c r="I15" i="3"/>
  <c r="I19" i="3"/>
  <c r="I28" i="3"/>
  <c r="I31" i="3"/>
  <c r="I32" i="3"/>
  <c r="AA35" i="1"/>
  <c r="I35" i="3"/>
  <c r="I36" i="3"/>
  <c r="I37" i="3"/>
  <c r="AA44" i="1"/>
  <c r="I44" i="3"/>
  <c r="I45" i="3"/>
  <c r="I49" i="3"/>
  <c r="I50" i="3"/>
  <c r="I51" i="3"/>
  <c r="I52" i="3"/>
  <c r="I53" i="3"/>
  <c r="I54" i="3"/>
  <c r="G53" i="3"/>
  <c r="G54" i="3"/>
  <c r="F53" i="3"/>
  <c r="F54" i="3"/>
  <c r="E4" i="3"/>
  <c r="O6" i="1"/>
  <c r="E6" i="3"/>
  <c r="E11" i="3"/>
  <c r="O15" i="1"/>
  <c r="E15" i="3"/>
  <c r="E19" i="3"/>
  <c r="E28" i="3"/>
  <c r="E31" i="3"/>
  <c r="E35" i="3"/>
  <c r="E36" i="3"/>
  <c r="E37" i="3"/>
  <c r="E43" i="3"/>
  <c r="E44" i="3"/>
  <c r="E45" i="3"/>
  <c r="E49" i="3"/>
  <c r="E50" i="3"/>
  <c r="E51" i="3"/>
  <c r="E52" i="3"/>
  <c r="E53" i="3"/>
  <c r="E54" i="3"/>
  <c r="D4" i="3"/>
  <c r="N6" i="1"/>
  <c r="D6" i="3"/>
  <c r="D11" i="3"/>
  <c r="N15" i="1"/>
  <c r="D15" i="3"/>
  <c r="D19" i="3"/>
  <c r="D28" i="3"/>
  <c r="D31" i="3"/>
  <c r="D35" i="3"/>
  <c r="D36" i="3"/>
  <c r="D37" i="3"/>
  <c r="D43" i="3"/>
  <c r="D44" i="3"/>
  <c r="D45" i="3"/>
  <c r="D49" i="3"/>
  <c r="D50" i="3"/>
  <c r="D51" i="3"/>
  <c r="D52" i="3"/>
  <c r="D53" i="3"/>
  <c r="D54" i="3"/>
  <c r="C4" i="3"/>
  <c r="M6" i="1"/>
  <c r="C6" i="3"/>
  <c r="C11" i="3"/>
  <c r="M15" i="1"/>
  <c r="C15" i="3"/>
  <c r="C19" i="3"/>
  <c r="C28" i="3"/>
  <c r="C31" i="3"/>
  <c r="C32" i="3"/>
  <c r="C35" i="3"/>
  <c r="C36" i="3"/>
  <c r="C37" i="3"/>
  <c r="C43" i="3"/>
  <c r="C44" i="3"/>
  <c r="C45" i="3"/>
  <c r="C49" i="3"/>
  <c r="C50" i="3"/>
  <c r="C51" i="3"/>
  <c r="C52" i="3"/>
  <c r="C53" i="3"/>
  <c r="C54" i="3"/>
  <c r="AV53" i="3"/>
  <c r="AU53" i="3"/>
  <c r="AT53" i="3"/>
  <c r="AS53" i="3"/>
  <c r="AQ53" i="3"/>
  <c r="AP53" i="3"/>
  <c r="AO53" i="3"/>
  <c r="AN53" i="3"/>
  <c r="AL53" i="3"/>
  <c r="AK53" i="3"/>
  <c r="AJ53" i="3"/>
  <c r="AI53" i="3"/>
  <c r="AG53" i="3"/>
  <c r="AF53" i="3"/>
  <c r="AE53" i="3"/>
  <c r="AD53" i="3"/>
  <c r="CR6" i="3"/>
  <c r="CQ6" i="3"/>
  <c r="CO6" i="3"/>
  <c r="CN6" i="3"/>
  <c r="CL6" i="3"/>
  <c r="CK6" i="3"/>
  <c r="CH6" i="3"/>
  <c r="CG6" i="3"/>
  <c r="CF6" i="3"/>
  <c r="CE6" i="3"/>
  <c r="CD6" i="3"/>
  <c r="BE53" i="1"/>
  <c r="BD53" i="1"/>
  <c r="CC6" i="3"/>
  <c r="BC4" i="1"/>
  <c r="BC9" i="1"/>
  <c r="BC24" i="1"/>
  <c r="BC25" i="1"/>
  <c r="BC34" i="1"/>
  <c r="BC45" i="1"/>
  <c r="BC47" i="1"/>
  <c r="BC48" i="1"/>
  <c r="BC53" i="1"/>
  <c r="CB6" i="3"/>
  <c r="BB4" i="1"/>
  <c r="BB9" i="1"/>
  <c r="BB24" i="1"/>
  <c r="BB25" i="1"/>
  <c r="BB34" i="1"/>
  <c r="BB47" i="1"/>
  <c r="BB48" i="1"/>
  <c r="BB53" i="1"/>
  <c r="CA6" i="3"/>
  <c r="BA4" i="1"/>
  <c r="BA9" i="1"/>
  <c r="BA24" i="1"/>
  <c r="BA25" i="1"/>
  <c r="BA34" i="1"/>
  <c r="BA47" i="1"/>
  <c r="BA48" i="1"/>
  <c r="BA53" i="1"/>
  <c r="BZ6" i="3"/>
  <c r="AZ3" i="1"/>
  <c r="AZ4" i="1"/>
  <c r="AZ9" i="1"/>
  <c r="AZ24" i="1"/>
  <c r="AZ25" i="1"/>
  <c r="AZ34" i="1"/>
  <c r="AZ47" i="1"/>
  <c r="AZ48" i="1"/>
  <c r="AZ53" i="1"/>
  <c r="BY6" i="3"/>
  <c r="AY4" i="1"/>
  <c r="AY9" i="1"/>
  <c r="AY24" i="1"/>
  <c r="AY25" i="1"/>
  <c r="AY34" i="1"/>
  <c r="AY47" i="1"/>
  <c r="AY48" i="1"/>
  <c r="AY53" i="1"/>
  <c r="BX6" i="3"/>
  <c r="AX4" i="1"/>
  <c r="AX9" i="1"/>
  <c r="AX24" i="1"/>
  <c r="AX25" i="1"/>
  <c r="AX34" i="1"/>
  <c r="AX48" i="1"/>
  <c r="AX53" i="1"/>
  <c r="BW6" i="3"/>
  <c r="AW4" i="1"/>
  <c r="AW9" i="1"/>
  <c r="AW24" i="1"/>
  <c r="AW25" i="1"/>
  <c r="AW34" i="1"/>
  <c r="AW48" i="1"/>
  <c r="AW53" i="1"/>
  <c r="BV6" i="3"/>
  <c r="AV4" i="1"/>
  <c r="AV9" i="1"/>
  <c r="AV24" i="1"/>
  <c r="AV25" i="1"/>
  <c r="AV34" i="1"/>
  <c r="AV48" i="1"/>
  <c r="AV53" i="1"/>
  <c r="BU6" i="3"/>
  <c r="AU4" i="1"/>
  <c r="AU9" i="1"/>
  <c r="AU24" i="1"/>
  <c r="AU25" i="1"/>
  <c r="AU34" i="1"/>
  <c r="AU48" i="1"/>
  <c r="AU53" i="1"/>
  <c r="BT6" i="3"/>
  <c r="AT4" i="1"/>
  <c r="AT9" i="1"/>
  <c r="AT24" i="1"/>
  <c r="AT25" i="1"/>
  <c r="AT34" i="1"/>
  <c r="AT48" i="1"/>
  <c r="AT53" i="1"/>
  <c r="BS6" i="3"/>
  <c r="CR5" i="3"/>
  <c r="CQ5" i="3"/>
  <c r="CO5" i="3"/>
  <c r="CN5" i="3"/>
  <c r="CL5" i="3"/>
  <c r="CK5" i="3"/>
  <c r="CH5" i="3"/>
  <c r="CG5" i="3"/>
  <c r="CF5" i="3"/>
  <c r="CE5" i="3"/>
  <c r="CD5" i="3"/>
  <c r="AP53" i="1"/>
  <c r="AO53" i="1"/>
  <c r="CC5" i="3"/>
  <c r="AN8" i="1"/>
  <c r="AN9" i="1"/>
  <c r="AN24" i="1"/>
  <c r="AN26" i="1"/>
  <c r="AN38" i="1"/>
  <c r="AN48" i="1"/>
  <c r="AN49" i="1"/>
  <c r="AN53" i="1"/>
  <c r="CB5" i="3"/>
  <c r="AM8" i="1"/>
  <c r="AM9" i="1"/>
  <c r="AM18" i="1"/>
  <c r="AM24" i="1"/>
  <c r="AM26" i="1"/>
  <c r="AM38" i="1"/>
  <c r="AM48" i="1"/>
  <c r="AM49" i="1"/>
  <c r="AM53" i="1"/>
  <c r="CA5" i="3"/>
  <c r="AL8" i="1"/>
  <c r="AL9" i="1"/>
  <c r="AL18" i="1"/>
  <c r="AL24" i="1"/>
  <c r="AL26" i="1"/>
  <c r="AL38" i="1"/>
  <c r="AL48" i="1"/>
  <c r="AL49" i="1"/>
  <c r="AL53" i="1"/>
  <c r="BZ5" i="3"/>
  <c r="AK3" i="1"/>
  <c r="AK8" i="1"/>
  <c r="AK18" i="1"/>
  <c r="AK24" i="1"/>
  <c r="AK26" i="1"/>
  <c r="AK38" i="1"/>
  <c r="AK48" i="1"/>
  <c r="AK53" i="1"/>
  <c r="BY5" i="3"/>
  <c r="AJ8" i="1"/>
  <c r="AJ24" i="1"/>
  <c r="AJ38" i="1"/>
  <c r="AJ48" i="1"/>
  <c r="AJ53" i="1"/>
  <c r="BX5" i="3"/>
  <c r="AI8" i="1"/>
  <c r="AI38" i="1"/>
  <c r="AI48" i="1"/>
  <c r="AI53" i="1"/>
  <c r="BW5" i="3"/>
  <c r="AH8" i="1"/>
  <c r="AH38" i="1"/>
  <c r="AH48" i="1"/>
  <c r="AH53" i="1"/>
  <c r="BV5" i="3"/>
  <c r="AG8" i="1"/>
  <c r="AG38" i="1"/>
  <c r="AG48" i="1"/>
  <c r="AG53" i="1"/>
  <c r="BU5" i="3"/>
  <c r="AF8" i="1"/>
  <c r="AF38" i="1"/>
  <c r="AF48" i="1"/>
  <c r="AF53" i="1"/>
  <c r="BT5" i="3"/>
  <c r="AE8" i="1"/>
  <c r="AE38" i="1"/>
  <c r="AE48" i="1"/>
  <c r="AE53" i="1"/>
  <c r="BS5" i="3"/>
  <c r="CR4" i="3"/>
  <c r="CQ4" i="3"/>
  <c r="CO4" i="3"/>
  <c r="CN4" i="3"/>
  <c r="CL4" i="3"/>
  <c r="CK4" i="3"/>
  <c r="CH4" i="3"/>
  <c r="CG4" i="3"/>
  <c r="CF4" i="3"/>
  <c r="CE4" i="3"/>
  <c r="CD4" i="3"/>
  <c r="AB53" i="1"/>
  <c r="AA53" i="1"/>
  <c r="CC4" i="3"/>
  <c r="Z6" i="1"/>
  <c r="Z9" i="1"/>
  <c r="Z15" i="1"/>
  <c r="Z18" i="1"/>
  <c r="Z35" i="1"/>
  <c r="Z41" i="1"/>
  <c r="Z44" i="1"/>
  <c r="Z53" i="1"/>
  <c r="CB4" i="3"/>
  <c r="Y6" i="1"/>
  <c r="Y9" i="1"/>
  <c r="Y15" i="1"/>
  <c r="Y18" i="1"/>
  <c r="Y35" i="1"/>
  <c r="Y41" i="1"/>
  <c r="Y44" i="1"/>
  <c r="Y53" i="1"/>
  <c r="CA4" i="3"/>
  <c r="X6" i="1"/>
  <c r="X15" i="1"/>
  <c r="X18" i="1"/>
  <c r="X19" i="1"/>
  <c r="X35" i="1"/>
  <c r="X41" i="1"/>
  <c r="X44" i="1"/>
  <c r="X53" i="1"/>
  <c r="BZ4" i="3"/>
  <c r="W6" i="1"/>
  <c r="W18" i="1"/>
  <c r="W19" i="1"/>
  <c r="W35" i="1"/>
  <c r="W41" i="1"/>
  <c r="W44" i="1"/>
  <c r="W53" i="1"/>
  <c r="BY4" i="3"/>
  <c r="V6" i="1"/>
  <c r="V19" i="1"/>
  <c r="V35" i="1"/>
  <c r="V41" i="1"/>
  <c r="V44" i="1"/>
  <c r="V53" i="1"/>
  <c r="BX4" i="3"/>
  <c r="U19" i="1"/>
  <c r="U35" i="1"/>
  <c r="U41" i="1"/>
  <c r="U44" i="1"/>
  <c r="U53" i="1"/>
  <c r="BW4" i="3"/>
  <c r="T19" i="1"/>
  <c r="T35" i="1"/>
  <c r="T53" i="1"/>
  <c r="BV4" i="3"/>
  <c r="S19" i="1"/>
  <c r="S35" i="1"/>
  <c r="S53" i="1"/>
  <c r="BU4" i="3"/>
  <c r="R19" i="1"/>
  <c r="R35" i="1"/>
  <c r="R53" i="1"/>
  <c r="BT4" i="3"/>
  <c r="Q19" i="1"/>
  <c r="Q35" i="1"/>
  <c r="Q53" i="1"/>
  <c r="BS4" i="3"/>
  <c r="CR3" i="3"/>
  <c r="CQ3" i="3"/>
  <c r="CO3" i="3"/>
  <c r="CN3" i="3"/>
  <c r="CL3" i="3"/>
  <c r="CK3" i="3"/>
  <c r="CH3" i="3"/>
  <c r="CG3" i="3"/>
  <c r="CF3" i="3"/>
  <c r="CE3" i="3"/>
  <c r="CD3" i="3"/>
  <c r="N53" i="1"/>
  <c r="M53" i="1"/>
  <c r="CC3" i="3"/>
  <c r="L6" i="1"/>
  <c r="L9" i="1"/>
  <c r="L15" i="1"/>
  <c r="L24" i="1"/>
  <c r="L53" i="1"/>
  <c r="CB3" i="3"/>
  <c r="K6" i="1"/>
  <c r="K9" i="1"/>
  <c r="K15" i="1"/>
  <c r="K24" i="1"/>
  <c r="K53" i="1"/>
  <c r="CA3" i="3"/>
  <c r="J6" i="1"/>
  <c r="J9" i="1"/>
  <c r="J15" i="1"/>
  <c r="J24" i="1"/>
  <c r="J53" i="1"/>
  <c r="BZ3" i="3"/>
  <c r="I6" i="1"/>
  <c r="I24" i="1"/>
  <c r="I53" i="1"/>
  <c r="BY3" i="3"/>
  <c r="H6" i="1"/>
  <c r="H24" i="1"/>
  <c r="H53" i="1"/>
  <c r="BX3" i="3"/>
  <c r="G53" i="1"/>
  <c r="BW3" i="3"/>
  <c r="F53" i="1"/>
  <c r="BV3" i="3"/>
  <c r="E53" i="1"/>
  <c r="BU3" i="3"/>
  <c r="D53" i="1"/>
  <c r="BT3" i="3"/>
  <c r="C53" i="1"/>
  <c r="BS3" i="3"/>
  <c r="BL4" i="2"/>
  <c r="BL9" i="2"/>
  <c r="BL23" i="2"/>
  <c r="BL24" i="2"/>
  <c r="BL25" i="2"/>
  <c r="BL34" i="2"/>
  <c r="BL45" i="2"/>
  <c r="BL46" i="2"/>
  <c r="BL47" i="2"/>
  <c r="BL48" i="2"/>
  <c r="BL53" i="2"/>
  <c r="BK4" i="2"/>
  <c r="BK9" i="2"/>
  <c r="BK23" i="2"/>
  <c r="BK24" i="2"/>
  <c r="BK25" i="2"/>
  <c r="BK34" i="2"/>
  <c r="BK45" i="2"/>
  <c r="BK46" i="2"/>
  <c r="BK48" i="2"/>
  <c r="BK53" i="2"/>
  <c r="BJ3" i="2"/>
  <c r="BJ4" i="2"/>
  <c r="BJ9" i="2"/>
  <c r="BJ23" i="2"/>
  <c r="BJ24" i="2"/>
  <c r="BJ25" i="2"/>
  <c r="BJ34" i="2"/>
  <c r="BJ45" i="2"/>
  <c r="BJ46" i="2"/>
  <c r="BJ48" i="2"/>
  <c r="BJ53" i="2"/>
  <c r="BI4" i="2"/>
  <c r="BI9" i="2"/>
  <c r="BI23" i="2"/>
  <c r="BI24" i="2"/>
  <c r="BI25" i="2"/>
  <c r="BI34" i="2"/>
  <c r="BI45" i="2"/>
  <c r="BI48" i="2"/>
  <c r="BI53" i="2"/>
  <c r="BH4" i="2"/>
  <c r="BH9" i="2"/>
  <c r="BH23" i="2"/>
  <c r="BH24" i="2"/>
  <c r="BH25" i="2"/>
  <c r="BH34" i="2"/>
  <c r="BH45" i="2"/>
  <c r="BH48" i="2"/>
  <c r="BH53" i="2"/>
  <c r="BG4" i="2"/>
  <c r="BG9" i="2"/>
  <c r="BG24" i="2"/>
  <c r="BG25" i="2"/>
  <c r="BG34" i="2"/>
  <c r="BG45" i="2"/>
  <c r="BG48" i="2"/>
  <c r="BG53" i="2"/>
  <c r="BF4" i="2"/>
  <c r="BF9" i="2"/>
  <c r="BF24" i="2"/>
  <c r="BF25" i="2"/>
  <c r="BF34" i="2"/>
  <c r="BF45" i="2"/>
  <c r="BF48" i="2"/>
  <c r="BF53" i="2"/>
  <c r="BE4" i="2"/>
  <c r="BE9" i="2"/>
  <c r="BE24" i="2"/>
  <c r="BE25" i="2"/>
  <c r="BE34" i="2"/>
  <c r="BE45" i="2"/>
  <c r="BE48" i="2"/>
  <c r="BE53" i="2"/>
  <c r="BD4" i="2"/>
  <c r="BD9" i="2"/>
  <c r="BD24" i="2"/>
  <c r="BD25" i="2"/>
  <c r="BD34" i="2"/>
  <c r="BD45" i="2"/>
  <c r="BD48" i="2"/>
  <c r="BD53" i="2"/>
  <c r="BC4" i="2"/>
  <c r="BC9" i="2"/>
  <c r="BC24" i="2"/>
  <c r="BC25" i="2"/>
  <c r="BC34" i="2"/>
  <c r="BC45" i="2"/>
  <c r="BC48" i="2"/>
  <c r="BC53" i="2"/>
  <c r="BB4" i="2"/>
  <c r="BB9" i="2"/>
  <c r="BB24" i="2"/>
  <c r="BB25" i="2"/>
  <c r="BB34" i="2"/>
  <c r="BB45" i="2"/>
  <c r="BB48" i="2"/>
  <c r="BB53" i="2"/>
  <c r="BA4" i="2"/>
  <c r="BA9" i="2"/>
  <c r="BA24" i="2"/>
  <c r="BA25" i="2"/>
  <c r="BA34" i="2"/>
  <c r="BA45" i="2"/>
  <c r="BA48" i="2"/>
  <c r="BA53" i="2"/>
  <c r="AZ3" i="2"/>
  <c r="AZ4" i="2"/>
  <c r="AZ9" i="2"/>
  <c r="AZ24" i="2"/>
  <c r="AZ25" i="2"/>
  <c r="AZ34" i="2"/>
  <c r="AZ45" i="2"/>
  <c r="AZ48" i="2"/>
  <c r="AZ53" i="2"/>
  <c r="AY3" i="2"/>
  <c r="AY4" i="2"/>
  <c r="AY9" i="2"/>
  <c r="AY24" i="2"/>
  <c r="AY25" i="2"/>
  <c r="AY34" i="2"/>
  <c r="AY45" i="2"/>
  <c r="AY48" i="2"/>
  <c r="AY53" i="2"/>
  <c r="AV8" i="2"/>
  <c r="AV9" i="2"/>
  <c r="AV23" i="2"/>
  <c r="AV24" i="2"/>
  <c r="AV26" i="2"/>
  <c r="AV38" i="2"/>
  <c r="AV48" i="2"/>
  <c r="AV49" i="2"/>
  <c r="AV53" i="2"/>
  <c r="AU8" i="2"/>
  <c r="AU9" i="2"/>
  <c r="AU23" i="2"/>
  <c r="AU24" i="2"/>
  <c r="AU26" i="2"/>
  <c r="AU38" i="2"/>
  <c r="AU48" i="2"/>
  <c r="AU49" i="2"/>
  <c r="AU53" i="2"/>
  <c r="AT8" i="2"/>
  <c r="AT9" i="2"/>
  <c r="AT23" i="2"/>
  <c r="AT24" i="2"/>
  <c r="AT26" i="2"/>
  <c r="AT38" i="2"/>
  <c r="AT48" i="2"/>
  <c r="AT49" i="2"/>
  <c r="AT53" i="2"/>
  <c r="AS8" i="2"/>
  <c r="AS9" i="2"/>
  <c r="AS23" i="2"/>
  <c r="AS24" i="2"/>
  <c r="AS26" i="2"/>
  <c r="AS38" i="2"/>
  <c r="AS48" i="2"/>
  <c r="AS49" i="2"/>
  <c r="AS53" i="2"/>
  <c r="AR8" i="2"/>
  <c r="AR9" i="2"/>
  <c r="AR18" i="2"/>
  <c r="AR23" i="2"/>
  <c r="AR24" i="2"/>
  <c r="AR26" i="2"/>
  <c r="AR38" i="2"/>
  <c r="AR48" i="2"/>
  <c r="AR49" i="2"/>
  <c r="AR53" i="2"/>
  <c r="AQ8" i="2"/>
  <c r="AQ9" i="2"/>
  <c r="AQ18" i="2"/>
  <c r="AQ24" i="2"/>
  <c r="AQ26" i="2"/>
  <c r="AQ38" i="2"/>
  <c r="AQ48" i="2"/>
  <c r="AQ49" i="2"/>
  <c r="AQ53" i="2"/>
  <c r="AP8" i="2"/>
  <c r="AP9" i="2"/>
  <c r="AP18" i="2"/>
  <c r="AP24" i="2"/>
  <c r="AP26" i="2"/>
  <c r="AP38" i="2"/>
  <c r="AP48" i="2"/>
  <c r="AP49" i="2"/>
  <c r="AP53" i="2"/>
  <c r="AO8" i="2"/>
  <c r="AO24" i="2"/>
  <c r="AO38" i="2"/>
  <c r="AO48" i="2"/>
  <c r="AO49" i="2"/>
  <c r="AO53" i="2"/>
  <c r="AN8" i="2"/>
  <c r="AN24" i="2"/>
  <c r="AN38" i="2"/>
  <c r="AN48" i="2"/>
  <c r="AN49" i="2"/>
  <c r="AN53" i="2"/>
  <c r="AM8" i="2"/>
  <c r="AM24" i="2"/>
  <c r="AM38" i="2"/>
  <c r="AM48" i="2"/>
  <c r="AM49" i="2"/>
  <c r="AM53" i="2"/>
  <c r="AL8" i="2"/>
  <c r="AL24" i="2"/>
  <c r="AL38" i="2"/>
  <c r="AL48" i="2"/>
  <c r="AL49" i="2"/>
  <c r="AL53" i="2"/>
  <c r="AK8" i="2"/>
  <c r="AK18" i="2"/>
  <c r="AK24" i="2"/>
  <c r="AK26" i="2"/>
  <c r="AK38" i="2"/>
  <c r="AK48" i="2"/>
  <c r="AK49" i="2"/>
  <c r="AK53" i="2"/>
  <c r="AJ8" i="2"/>
  <c r="AJ18" i="2"/>
  <c r="AJ24" i="2"/>
  <c r="AJ26" i="2"/>
  <c r="AJ38" i="2"/>
  <c r="AJ48" i="2"/>
  <c r="AJ49" i="2"/>
  <c r="AJ53" i="2"/>
  <c r="AI8" i="2"/>
  <c r="AI18" i="2"/>
  <c r="AI24" i="2"/>
  <c r="AI26" i="2"/>
  <c r="AI38" i="2"/>
  <c r="AI48" i="2"/>
  <c r="AI49" i="2"/>
  <c r="AI53" i="2"/>
  <c r="AF9" i="2"/>
  <c r="AF15" i="2"/>
  <c r="AF18" i="2"/>
  <c r="AF23" i="2"/>
  <c r="AF35" i="2"/>
  <c r="AF41" i="2"/>
  <c r="AF44" i="2"/>
  <c r="AF53" i="2"/>
  <c r="AE6" i="2"/>
  <c r="AE9" i="2"/>
  <c r="AE15" i="2"/>
  <c r="AE18" i="2"/>
  <c r="AE23" i="2"/>
  <c r="AE41" i="2"/>
  <c r="AE44" i="2"/>
  <c r="AE53" i="2"/>
  <c r="AD6" i="2"/>
  <c r="AD9" i="2"/>
  <c r="AD15" i="2"/>
  <c r="AD18" i="2"/>
  <c r="AD23" i="2"/>
  <c r="AD35" i="2"/>
  <c r="AD41" i="2"/>
  <c r="AD44" i="2"/>
  <c r="AD53" i="2"/>
  <c r="AC6" i="2"/>
  <c r="AC9" i="2"/>
  <c r="AC15" i="2"/>
  <c r="AC18" i="2"/>
  <c r="AC23" i="2"/>
  <c r="AC41" i="2"/>
  <c r="AC44" i="2"/>
  <c r="AC53" i="2"/>
  <c r="AB6" i="2"/>
  <c r="AB9" i="2"/>
  <c r="AB15" i="2"/>
  <c r="AB18" i="2"/>
  <c r="AB23" i="2"/>
  <c r="AB35" i="2"/>
  <c r="AB41" i="2"/>
  <c r="AB44" i="2"/>
  <c r="AB53" i="2"/>
  <c r="AA6" i="2"/>
  <c r="AA9" i="2"/>
  <c r="AA15" i="2"/>
  <c r="AA18" i="2"/>
  <c r="AA35" i="2"/>
  <c r="AA41" i="2"/>
  <c r="AA44" i="2"/>
  <c r="AA53" i="2"/>
  <c r="Z6" i="2"/>
  <c r="Z9" i="2"/>
  <c r="Z15" i="2"/>
  <c r="Z18" i="2"/>
  <c r="Z19" i="2"/>
  <c r="Z35" i="2"/>
  <c r="Z41" i="2"/>
  <c r="Z44" i="2"/>
  <c r="Z53" i="2"/>
  <c r="Y6" i="2"/>
  <c r="Y15" i="2"/>
  <c r="Y19" i="2"/>
  <c r="Y35" i="2"/>
  <c r="Y41" i="2"/>
  <c r="Y44" i="2"/>
  <c r="Y53" i="2"/>
  <c r="X6" i="2"/>
  <c r="X15" i="2"/>
  <c r="X19" i="2"/>
  <c r="X35" i="2"/>
  <c r="X41" i="2"/>
  <c r="X44" i="2"/>
  <c r="X53" i="2"/>
  <c r="W6" i="2"/>
  <c r="W15" i="2"/>
  <c r="W19" i="2"/>
  <c r="W35" i="2"/>
  <c r="W41" i="2"/>
  <c r="W44" i="2"/>
  <c r="W53" i="2"/>
  <c r="V6" i="2"/>
  <c r="V15" i="2"/>
  <c r="V35" i="2"/>
  <c r="V41" i="2"/>
  <c r="V44" i="2"/>
  <c r="V53" i="2"/>
  <c r="U6" i="2"/>
  <c r="U15" i="2"/>
  <c r="U18" i="2"/>
  <c r="U35" i="2"/>
  <c r="U39" i="2"/>
  <c r="U41" i="2"/>
  <c r="U44" i="2"/>
  <c r="U53" i="2"/>
  <c r="T6" i="2"/>
  <c r="T15" i="2"/>
  <c r="T18" i="2"/>
  <c r="T35" i="2"/>
  <c r="T39" i="2"/>
  <c r="T41" i="2"/>
  <c r="T44" i="2"/>
  <c r="T53" i="2"/>
  <c r="S6" i="2"/>
  <c r="S15" i="2"/>
  <c r="S18" i="2"/>
  <c r="S35" i="2"/>
  <c r="S41" i="2"/>
  <c r="S44" i="2"/>
  <c r="S53" i="2"/>
  <c r="P9" i="2"/>
  <c r="P15" i="2"/>
  <c r="P23" i="2"/>
  <c r="P24" i="2"/>
  <c r="P27" i="2"/>
  <c r="P53" i="2"/>
  <c r="O6" i="2"/>
  <c r="O9" i="2"/>
  <c r="O15" i="2"/>
  <c r="O23" i="2"/>
  <c r="O24" i="2"/>
  <c r="O53" i="2"/>
  <c r="N6" i="2"/>
  <c r="N9" i="2"/>
  <c r="N15" i="2"/>
  <c r="N23" i="2"/>
  <c r="N24" i="2"/>
  <c r="N53" i="2"/>
  <c r="M6" i="2"/>
  <c r="M9" i="2"/>
  <c r="M15" i="2"/>
  <c r="M23" i="2"/>
  <c r="M24" i="2"/>
  <c r="M53" i="2"/>
  <c r="L6" i="2"/>
  <c r="L9" i="2"/>
  <c r="L15" i="2"/>
  <c r="L23" i="2"/>
  <c r="L24" i="2"/>
  <c r="L53" i="2"/>
  <c r="K6" i="2"/>
  <c r="K9" i="2"/>
  <c r="K15" i="2"/>
  <c r="K24" i="2"/>
  <c r="K53" i="2"/>
  <c r="J6" i="2"/>
  <c r="J9" i="2"/>
  <c r="J15" i="2"/>
  <c r="J24" i="2"/>
  <c r="J53" i="2"/>
  <c r="I6" i="2"/>
  <c r="I15" i="2"/>
  <c r="I24" i="2"/>
  <c r="I53" i="2"/>
  <c r="H6" i="2"/>
  <c r="H15" i="2"/>
  <c r="H24" i="2"/>
  <c r="H53" i="2"/>
  <c r="G6" i="2"/>
  <c r="G15" i="2"/>
  <c r="G24" i="2"/>
  <c r="G53" i="2"/>
  <c r="F6" i="2"/>
  <c r="F15" i="2"/>
  <c r="F24" i="2"/>
  <c r="F53" i="2"/>
  <c r="E6" i="2"/>
  <c r="E15" i="2"/>
  <c r="E24" i="2"/>
  <c r="E39" i="2"/>
  <c r="E53" i="2"/>
  <c r="D6" i="2"/>
  <c r="D15" i="2"/>
  <c r="D24" i="2"/>
  <c r="D39" i="2"/>
  <c r="D53" i="2"/>
  <c r="C6" i="2"/>
  <c r="C15" i="2"/>
  <c r="C24" i="2"/>
  <c r="C53" i="2"/>
  <c r="BM23" i="2"/>
  <c r="AW23" i="2"/>
  <c r="AG23" i="2"/>
  <c r="Q23" i="2"/>
  <c r="BF53" i="1"/>
  <c r="AQ53" i="1"/>
  <c r="AC53" i="1"/>
  <c r="O53" i="1"/>
</calcChain>
</file>

<file path=xl/sharedStrings.xml><?xml version="1.0" encoding="utf-8"?>
<sst xmlns="http://schemas.openxmlformats.org/spreadsheetml/2006/main" count="1614" uniqueCount="176">
  <si>
    <t>$ millions</t>
  </si>
  <si>
    <t>PIT</t>
  </si>
  <si>
    <t>CIT</t>
  </si>
  <si>
    <t>Sales</t>
  </si>
  <si>
    <t>Total</t>
  </si>
  <si>
    <t>State</t>
  </si>
  <si>
    <t>Abbr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</si>
  <si>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</si>
  <si>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</si>
  <si>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</si>
  <si>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</si>
  <si>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</si>
  <si>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</si>
  <si>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</si>
  <si>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</si>
  <si>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</si>
  <si>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</si>
  <si>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</si>
  <si>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</si>
  <si>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</si>
  <si>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Alabama</t>
  </si>
  <si>
    <t>AL</t>
  </si>
  <si>
    <t>Alaska</t>
  </si>
  <si>
    <t>AK</t>
  </si>
  <si>
    <t>N/A</t>
  </si>
  <si>
    <t>PRELIMINARY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</si>
  <si>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</si>
  <si>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</si>
  <si>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</si>
  <si>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</si>
  <si>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</si>
  <si>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</si>
  <si>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</si>
  <si>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</si>
  <si>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</si>
  <si>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</si>
  <si>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</si>
  <si>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</si>
  <si>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</si>
  <si>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</si>
  <si>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</si>
  <si>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</si>
  <si>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</si>
  <si>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</si>
  <si>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</si>
  <si>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</si>
  <si>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</si>
  <si>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</si>
  <si>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</si>
  <si>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</si>
  <si>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</si>
  <si>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</si>
  <si>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</si>
  <si>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</si>
  <si>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</si>
  <si>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</si>
  <si>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</si>
  <si>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</si>
  <si>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</si>
  <si>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</si>
  <si>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</si>
  <si>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</si>
  <si>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</si>
  <si>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</si>
  <si>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</si>
  <si>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</si>
  <si>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</si>
  <si>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</si>
  <si>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</si>
  <si>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</si>
  <si>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</si>
  <si>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</si>
  <si>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</si>
  <si>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</si>
  <si>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</si>
  <si>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</si>
  <si>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</si>
  <si>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</si>
  <si>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</si>
  <si>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</si>
  <si>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</si>
  <si>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</si>
  <si>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</si>
  <si>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</si>
  <si>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</si>
  <si>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</si>
  <si>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</si>
  <si>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</si>
  <si>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</si>
  <si>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</si>
  <si>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</si>
  <si>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</si>
  <si>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</si>
  <si>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</si>
  <si>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</si>
  <si>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</si>
  <si>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</si>
  <si>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</si>
  <si>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</si>
  <si>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</si>
  <si>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</si>
  <si>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</si>
  <si>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</si>
  <si>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</si>
  <si>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</si>
  <si>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</si>
  <si>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</si>
  <si>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</si>
  <si>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</si>
  <si>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</si>
  <si>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</si>
  <si>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</si>
  <si>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</si>
  <si>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</si>
  <si>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</si>
  <si>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</si>
  <si>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</si>
  <si>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</si>
  <si>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</si>
  <si>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</si>
  <si>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</si>
  <si>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</si>
  <si>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</si>
  <si>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</si>
  <si>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Forecast Date</t>
  </si>
  <si>
    <t>FY 2026</t>
  </si>
  <si>
    <t>FY 2027</t>
  </si>
  <si>
    <t>Budget cycle</t>
  </si>
  <si>
    <t>Annual</t>
  </si>
  <si>
    <t>Biennial (odd)</t>
  </si>
  <si>
    <t>Biennial (even)</t>
  </si>
  <si>
    <t>MEDIAN</t>
  </si>
  <si>
    <t>FY 2025 Actual</t>
  </si>
  <si>
    <t>FY 2026 Forecast</t>
  </si>
  <si>
    <t>FY 2027 Forecast</t>
  </si>
  <si>
    <t>FY 2026 estimate</t>
  </si>
  <si>
    <t>FY 2027 estimate</t>
  </si>
  <si>
    <t>Forecast
Date</t>
  </si>
  <si>
    <t>What's included in total</t>
  </si>
  <si>
    <t>FY 2023-24</t>
  </si>
  <si>
    <t>FY 2024-25</t>
  </si>
  <si>
    <t>FY 2025-26</t>
  </si>
  <si>
    <t>FY 2026-27</t>
  </si>
  <si>
    <t>FY 2026
forecast</t>
  </si>
  <si>
    <t>FY 2027
forecast</t>
  </si>
  <si>
    <t>Average</t>
  </si>
  <si>
    <t>Median</t>
  </si>
  <si>
    <t>GF + Education</t>
  </si>
  <si>
    <t>Personal income tax</t>
  </si>
  <si>
    <t>Total - Federal</t>
  </si>
  <si>
    <t>Total taxes</t>
  </si>
  <si>
    <t>Sales tax</t>
  </si>
  <si>
    <t>GF</t>
  </si>
  <si>
    <t>Total revenue</t>
  </si>
  <si>
    <t>GF + Transportation - Federal</t>
  </si>
  <si>
    <t>GF before transfers</t>
  </si>
  <si>
    <t>GF + School Aid Fund</t>
  </si>
  <si>
    <t>GF + Education Trust fund</t>
  </si>
  <si>
    <t>All funds</t>
  </si>
  <si>
    <t>All funds total taxes only</t>
  </si>
  <si>
    <t>GF + Education Fund + Transportation Fund</t>
  </si>
  <si>
    <t>GF (total tax + other) + cigarettes</t>
  </si>
  <si>
    <t>GF + Transportation fund</t>
  </si>
  <si>
    <t>&gt;0</t>
  </si>
  <si>
    <t>&lt;0</t>
  </si>
  <si>
    <t>numcountxus</t>
  </si>
  <si>
    <t>nonempty count</t>
  </si>
  <si>
    <t>ny in?</t>
  </si>
  <si>
    <t>yes</t>
  </si>
  <si>
    <t>NY has the Executive Budget numbers</t>
  </si>
  <si>
    <t>median x ny</t>
  </si>
  <si>
    <t>notable</t>
  </si>
  <si>
    <t>ca, co, ct, ga, md, ma</t>
  </si>
  <si>
    <t>included</t>
  </si>
  <si>
    <t>missing</t>
  </si>
  <si>
    <t>il, nj, nc,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</si>
</sst>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4" formatCode="#,##0.0_);[Red]\(#,##0.0\)"/>
    <numFmt numFmtId="165" formatCode="0.0%"/>
    <numFmt numFmtId="166" formatCode="[$-409]mmm\-yy;@"/>
    <numFmt numFmtId="167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u/>
      <sz val="8.8000000000000007"/>
      <color theme="10"/>
      <name val="Calibri"/>
      <family val="2"/>
    </font>
    <font>
      <b/>
      <u/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43" fontId="1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4" applyFont="1" applyAlignment="1">
      <alignment horizontal="left" vertical="center" wrapText="1"/>
    </xf>
    <xf numFmtId="0" fontId="6" fillId="0" borderId="0" xfId="4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3" applyFont="1" applyFill="1" applyAlignment="1" applyProtection="1"/>
    <xf numFmtId="0" fontId="9" fillId="0" borderId="0" xfId="4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9" fontId="3" fillId="0" borderId="0" xfId="2" applyFont="1" applyAlignment="1">
      <alignment vertical="center"/>
    </xf>
    <xf numFmtId="0" fontId="8" fillId="0" borderId="0" xfId="3" applyFont="1" applyAlignment="1" applyProtection="1">
      <alignment vertical="center"/>
    </xf>
    <xf numFmtId="164" fontId="3" fillId="2" borderId="0" xfId="0" applyNumberFormat="1" applyFont="1" applyFill="1" applyAlignment="1">
      <alignment horizontal="right" vertical="center"/>
    </xf>
    <xf numFmtId="0" fontId="8" fillId="0" borderId="0" xfId="3" applyFont="1" applyAlignment="1" applyProtection="1"/>
    <xf numFmtId="0" fontId="10" fillId="0" borderId="0" xfId="0" applyFont="1" applyAlignment="1">
      <alignment vertical="center"/>
    </xf>
    <xf numFmtId="0" fontId="11" fillId="0" borderId="0" xfId="3" applyFont="1" applyAlignment="1" applyProtection="1"/>
    <xf numFmtId="0" fontId="8" fillId="0" borderId="0" xfId="3" applyFont="1" applyFill="1" applyAlignment="1" applyProtection="1">
      <alignment vertical="center"/>
    </xf>
    <xf numFmtId="164" fontId="3" fillId="3" borderId="0" xfId="0" applyNumberFormat="1" applyFont="1" applyFill="1" applyAlignment="1">
      <alignment horizontal="right" vertical="center"/>
    </xf>
    <xf numFmtId="164" fontId="9" fillId="0" borderId="0" xfId="0" applyNumberFormat="1" applyFont="1"/>
    <xf numFmtId="0" fontId="11" fillId="0" borderId="0" xfId="3" applyFont="1" applyFill="1" applyAlignment="1" applyProtection="1"/>
    <xf numFmtId="164" fontId="3" fillId="0" borderId="0" xfId="5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4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5" fontId="3" fillId="0" borderId="0" xfId="2" applyNumberFormat="1" applyFont="1" applyAlignment="1">
      <alignment vertical="center"/>
    </xf>
    <xf numFmtId="165" fontId="3" fillId="0" borderId="0" xfId="2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6" fillId="0" borderId="0" xfId="2" applyFont="1" applyFill="1" applyAlignment="1">
      <alignment horizontal="center" vertical="center" wrapText="1"/>
    </xf>
    <xf numFmtId="43" fontId="3" fillId="0" borderId="0" xfId="1" applyFont="1" applyFill="1" applyAlignment="1">
      <alignment horizontal="right" vertical="center"/>
    </xf>
    <xf numFmtId="166" fontId="9" fillId="0" borderId="0" xfId="0" applyNumberFormat="1" applyFont="1" applyAlignment="1">
      <alignment horizontal="center" vertical="center"/>
    </xf>
    <xf numFmtId="0" fontId="11" fillId="0" borderId="0" xfId="3" applyFont="1" applyAlignment="1" applyProtection="1">
      <alignment vertical="center"/>
    </xf>
    <xf numFmtId="17" fontId="9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3" applyFont="1" applyAlignment="1" applyProtection="1">
      <alignment horizontal="justify" vertical="center"/>
    </xf>
    <xf numFmtId="9" fontId="3" fillId="0" borderId="0" xfId="2" applyFont="1" applyFill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0" fontId="8" fillId="0" borderId="0" xfId="3" applyFont="1" applyAlignment="1" applyProtection="1">
      <alignment horizontal="justify" vertical="center"/>
    </xf>
    <xf numFmtId="6" fontId="3" fillId="0" borderId="0" xfId="1" applyNumberFormat="1" applyFont="1" applyFill="1" applyAlignment="1">
      <alignment horizontal="right" vertical="center"/>
    </xf>
    <xf numFmtId="17" fontId="3" fillId="2" borderId="0" xfId="0" applyNumberFormat="1" applyFont="1" applyFill="1" applyAlignment="1">
      <alignment horizontal="center" vertical="center"/>
    </xf>
    <xf numFmtId="0" fontId="8" fillId="4" borderId="0" xfId="3" applyFont="1" applyFill="1" applyAlignment="1" applyProtection="1">
      <alignment vertical="center"/>
    </xf>
    <xf numFmtId="0" fontId="11" fillId="0" borderId="0" xfId="3" applyFont="1" applyFill="1" applyAlignment="1" applyProtection="1">
      <alignment vertical="center"/>
    </xf>
    <xf numFmtId="166" fontId="6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0" fontId="3" fillId="0" borderId="0" xfId="0" applyFont="1"/>
    <xf numFmtId="165" fontId="3" fillId="0" borderId="0" xfId="2" applyNumberFormat="1" applyFont="1" applyFill="1" applyAlignment="1">
      <alignment horizontal="right" vertical="center"/>
    </xf>
    <xf numFmtId="165" fontId="3" fillId="0" borderId="0" xfId="2" applyNumberFormat="1" applyFont="1" applyFill="1" applyAlignment="1">
      <alignment vertical="center"/>
    </xf>
    <xf numFmtId="165" fontId="3" fillId="2" borderId="0" xfId="2" applyNumberFormat="1" applyFont="1" applyFill="1" applyAlignment="1">
      <alignment vertical="center"/>
    </xf>
    <xf numFmtId="9" fontId="3" fillId="2" borderId="0" xfId="2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164" fontId="3" fillId="2" borderId="0" xfId="1" applyNumberFormat="1" applyFont="1" applyFill="1" applyAlignment="1">
      <alignment horizontal="left" vertical="center"/>
    </xf>
    <xf numFmtId="164" fontId="3" fillId="2" borderId="0" xfId="1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0" fontId="8" fillId="0" borderId="0" xfId="6" applyFont="1" applyAlignment="1" applyProtection="1">
      <alignment vertical="center"/>
    </xf>
    <xf numFmtId="14" fontId="2" fillId="0" borderId="0" xfId="0" applyNumberFormat="1" applyFont="1" applyAlignment="1">
      <alignment horizontal="center" vertical="center"/>
    </xf>
    <xf numFmtId="0" fontId="8" fillId="0" borderId="0" xfId="6" applyFont="1" applyFill="1" applyAlignment="1" applyProtection="1">
      <alignment vertical="center"/>
    </xf>
    <xf numFmtId="0" fontId="16" fillId="0" borderId="0" xfId="6" applyFont="1" applyAlignment="1" applyProtection="1">
      <alignment vertical="center"/>
    </xf>
    <xf numFmtId="14" fontId="9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165" fontId="4" fillId="0" borderId="0" xfId="2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0" fontId="8" fillId="5" borderId="0" xfId="3" applyFont="1" applyFill="1" applyAlignment="1" applyProtection="1"/>
    <xf numFmtId="0" fontId="9" fillId="5" borderId="0" xfId="4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right" vertical="center"/>
    </xf>
    <xf numFmtId="14" fontId="6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64" fontId="3" fillId="5" borderId="0" xfId="1" applyNumberFormat="1" applyFont="1" applyFill="1" applyAlignment="1">
      <alignment horizontal="left" vertical="center"/>
    </xf>
    <xf numFmtId="164" fontId="3" fillId="5" borderId="0" xfId="1" applyNumberFormat="1" applyFont="1" applyFill="1" applyAlignment="1">
      <alignment horizontal="right" vertical="center"/>
    </xf>
    <xf numFmtId="0" fontId="3" fillId="5" borderId="0" xfId="0" applyFont="1" applyFill="1"/>
    <xf numFmtId="0" fontId="3" fillId="5" borderId="0" xfId="4" applyFont="1" applyFill="1" applyAlignment="1">
      <alignment horizontal="center" vertical="center"/>
    </xf>
    <xf numFmtId="165" fontId="3" fillId="5" borderId="0" xfId="2" applyNumberFormat="1" applyFont="1" applyFill="1" applyAlignment="1">
      <alignment horizontal="right" vertical="center"/>
    </xf>
    <xf numFmtId="164" fontId="4" fillId="5" borderId="0" xfId="1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17" fillId="5" borderId="0" xfId="0" applyFont="1" applyFill="1" applyAlignment="1">
      <alignment vertical="center"/>
    </xf>
  </cellXfs>
  <cellStyles count="7">
    <cellStyle name="Comma" xfId="1" builtinId="3"/>
    <cellStyle name="Comma 2" xfId="5" xr:uid="{26D10849-8AF2-474B-818C-A2A1D4BADAE3}"/>
    <cellStyle name="Hyperlink" xfId="3" builtinId="8"/>
    <cellStyle name="Hyperlink 2" xfId="6" xr:uid="{17235B4F-DF9F-4B9A-B639-B2F3E91952AD}"/>
    <cellStyle name="Normal" xfId="0" builtinId="0"/>
    <cellStyle name="Normal 2" xfId="4" xr:uid="{F4F3ACDF-BD68-44AE-A637-61968D7C83B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63079615048126E-2"/>
          <c:y val="0.19851851851851851"/>
          <c:w val="0.91708136482939628"/>
          <c:h val="0.7646786235053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Forecasts_Feb2026!$CN$2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8BB0"/>
            </a:solidFill>
            <a:ln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Forecasts_Feb2026!$CN$3:$CN$6</c:f>
              <c:numCache>
                <c:formatCode>0.0%</c:formatCode>
                <c:ptCount val="4"/>
                <c:pt idx="0">
                  <c:v>4.5482671459774145E-2</c:v>
                </c:pt>
                <c:pt idx="1">
                  <c:v>-3.4395185009384453E-2</c:v>
                </c:pt>
                <c:pt idx="2">
                  <c:v>3.2270546279548583E-2</c:v>
                </c:pt>
                <c:pt idx="3">
                  <c:v>2.0867832568325737E-2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2-475E-A533-7EEF9FE85947}"/>
            </c:ext>
          </c:extLst>
        </c:ser>
        <c:ser>
          <c:idx val="1"/>
          <c:order val="1"/>
          <c:tx>
            <c:strRef>
              <c:f>Forecasts_Feb2026!$CO$2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B0D0DB"/>
            </a:solidFill>
            <a:ln w="25400">
              <a:solidFill>
                <a:srgbClr val="B0D0D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Forecasts_Feb2026!$CO$3:$CO$6</c:f>
              <c:numCache>
                <c:formatCode>0.0%</c:formatCode>
                <c:ptCount val="4"/>
                <c:pt idx="0">
                  <c:v>3.7566952821189971E-2</c:v>
                </c:pt>
                <c:pt idx="1">
                  <c:v>-4.2790659377897278E-2</c:v>
                </c:pt>
                <c:pt idx="2">
                  <c:v>3.2100825568213608E-2</c:v>
                </c:pt>
                <c:pt idx="3">
                  <c:v>7.0979367704238835E-3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2-475E-A533-7EEF9FE85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9487759"/>
        <c:axId val="1109491087"/>
      </c:barChart>
      <c:catAx>
        <c:axId val="11094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91087"/>
        <c:crosses val="autoZero"/>
        <c:auto val="1"/>
        <c:lblAlgn val="ctr"/>
        <c:lblOffset val="100"/>
        <c:noMultiLvlLbl val="0"/>
      </c:catAx>
      <c:valAx>
        <c:axId val="110949108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47524059492561"/>
          <c:y val="0.2074074074074074"/>
          <c:w val="0.27993840769903766"/>
          <c:h val="6.1822105570137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5A-4961-AA18-9CFC19F0C386}"/>
              </c:ext>
            </c:extLst>
          </c:dPt>
          <c:dPt>
            <c:idx val="18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5A-4961-AA18-9CFC19F0C386}"/>
              </c:ext>
            </c:extLst>
          </c:dPt>
          <c:dPt>
            <c:idx val="21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5A-4961-AA18-9CFC19F0C386}"/>
              </c:ext>
            </c:extLst>
          </c:dPt>
          <c:dPt>
            <c:idx val="24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5A-4961-AA18-9CFC19F0C386}"/>
              </c:ext>
            </c:extLst>
          </c:dPt>
          <c:dPt>
            <c:idx val="29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5A-4961-AA18-9CFC19F0C386}"/>
              </c:ext>
            </c:extLst>
          </c:dPt>
          <c:dPt>
            <c:idx val="35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5A-4961-AA18-9CFC19F0C386}"/>
              </c:ext>
            </c:extLst>
          </c:dPt>
          <c:dPt>
            <c:idx val="39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5A-4961-AA18-9CFC19F0C3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Forecasts_Feb2026!$AZ$3:$AZ$42</c:f>
              <c:strCache>
                <c:ptCount val="40"/>
                <c:pt idx="0">
                  <c:v>WY</c:v>
                </c:pt>
                <c:pt idx="1">
                  <c:v>IA</c:v>
                </c:pt>
                <c:pt idx="2">
                  <c:v>AK</c:v>
                </c:pt>
                <c:pt idx="3">
                  <c:v>ID</c:v>
                </c:pt>
                <c:pt idx="4">
                  <c:v>HI</c:v>
                </c:pt>
                <c:pt idx="5">
                  <c:v>LA</c:v>
                </c:pt>
                <c:pt idx="6">
                  <c:v>UT</c:v>
                </c:pt>
                <c:pt idx="7">
                  <c:v>WV</c:v>
                </c:pt>
                <c:pt idx="8">
                  <c:v>TX</c:v>
                </c:pt>
                <c:pt idx="9">
                  <c:v>OK</c:v>
                </c:pt>
                <c:pt idx="10">
                  <c:v>MO</c:v>
                </c:pt>
                <c:pt idx="11">
                  <c:v>WI</c:v>
                </c:pt>
                <c:pt idx="12">
                  <c:v>CO</c:v>
                </c:pt>
                <c:pt idx="13">
                  <c:v>GA</c:v>
                </c:pt>
                <c:pt idx="14">
                  <c:v>SC</c:v>
                </c:pt>
                <c:pt idx="15">
                  <c:v>MS</c:v>
                </c:pt>
                <c:pt idx="16">
                  <c:v>VT</c:v>
                </c:pt>
                <c:pt idx="17">
                  <c:v>TN</c:v>
                </c:pt>
                <c:pt idx="18">
                  <c:v>MI</c:v>
                </c:pt>
                <c:pt idx="19">
                  <c:v>AL</c:v>
                </c:pt>
                <c:pt idx="20">
                  <c:v>NM</c:v>
                </c:pt>
                <c:pt idx="21">
                  <c:v>ME</c:v>
                </c:pt>
                <c:pt idx="22">
                  <c:v>MN</c:v>
                </c:pt>
                <c:pt idx="23">
                  <c:v>MA</c:v>
                </c:pt>
                <c:pt idx="24">
                  <c:v>KS</c:v>
                </c:pt>
                <c:pt idx="25">
                  <c:v>DE</c:v>
                </c:pt>
                <c:pt idx="26">
                  <c:v>FL</c:v>
                </c:pt>
                <c:pt idx="27">
                  <c:v>VA</c:v>
                </c:pt>
                <c:pt idx="28">
                  <c:v>CT</c:v>
                </c:pt>
                <c:pt idx="29">
                  <c:v>CA</c:v>
                </c:pt>
                <c:pt idx="30">
                  <c:v>RI</c:v>
                </c:pt>
                <c:pt idx="31">
                  <c:v>SD</c:v>
                </c:pt>
                <c:pt idx="32">
                  <c:v>MD</c:v>
                </c:pt>
                <c:pt idx="33">
                  <c:v>PA</c:v>
                </c:pt>
                <c:pt idx="34">
                  <c:v>IN</c:v>
                </c:pt>
                <c:pt idx="35">
                  <c:v>AZ</c:v>
                </c:pt>
                <c:pt idx="36">
                  <c:v>WA</c:v>
                </c:pt>
                <c:pt idx="37">
                  <c:v>NY</c:v>
                </c:pt>
                <c:pt idx="38">
                  <c:v>OR</c:v>
                </c:pt>
                <c:pt idx="39">
                  <c:v>NE</c:v>
                </c:pt>
              </c:strCache>
            </c:strRef>
          </c:cat>
          <c:val>
            <c:numRef>
              <c:f>Forecasts_Feb2026!$BA$3:$BA$42</c:f>
              <c:numCache>
                <c:formatCode>#,##0.0_);[Red]\(#,##0.0\)</c:formatCode>
                <c:ptCount val="40"/>
                <c:pt idx="0">
                  <c:v>-25.021390983674642</c:v>
                </c:pt>
                <c:pt idx="1">
                  <c:v>-8.7752454653217402</c:v>
                </c:pt>
                <c:pt idx="2">
                  <c:v>-8.4245605128918921</c:v>
                </c:pt>
                <c:pt idx="3">
                  <c:v>-6.0327091866887876</c:v>
                </c:pt>
                <c:pt idx="4">
                  <c:v>-4.7000043412172721</c:v>
                </c:pt>
                <c:pt idx="5">
                  <c:v>-4.4879356568364566</c:v>
                </c:pt>
                <c:pt idx="6">
                  <c:v>-3.7327404633746806</c:v>
                </c:pt>
                <c:pt idx="7">
                  <c:v>-3.554866748209895</c:v>
                </c:pt>
                <c:pt idx="8">
                  <c:v>-3.0554776966791044</c:v>
                </c:pt>
                <c:pt idx="9">
                  <c:v>-2.9344619034892041</c:v>
                </c:pt>
                <c:pt idx="10">
                  <c:v>-2.0920191478719996</c:v>
                </c:pt>
                <c:pt idx="11">
                  <c:v>-1.871403082784433</c:v>
                </c:pt>
                <c:pt idx="12">
                  <c:v>-1.8101075005965788</c:v>
                </c:pt>
                <c:pt idx="13">
                  <c:v>-1.207959582208999</c:v>
                </c:pt>
                <c:pt idx="14">
                  <c:v>-1.1922333562773981</c:v>
                </c:pt>
                <c:pt idx="15">
                  <c:v>-1.1872525367414695</c:v>
                </c:pt>
                <c:pt idx="16">
                  <c:v>-0.32055518836749081</c:v>
                </c:pt>
                <c:pt idx="17">
                  <c:v>0.29225995859367826</c:v>
                </c:pt>
                <c:pt idx="18">
                  <c:v>0.41513901734366138</c:v>
                </c:pt>
                <c:pt idx="19">
                  <c:v>0.52705133335679943</c:v>
                </c:pt>
                <c:pt idx="20">
                  <c:v>0.89253602072797733</c:v>
                </c:pt>
                <c:pt idx="21">
                  <c:v>0.93749037506007571</c:v>
                </c:pt>
                <c:pt idx="22">
                  <c:v>1.6885025483881055</c:v>
                </c:pt>
                <c:pt idx="23">
                  <c:v>1.7778286237272622</c:v>
                </c:pt>
                <c:pt idx="24">
                  <c:v>2.0431173779225222</c:v>
                </c:pt>
                <c:pt idx="25">
                  <c:v>2.428932076542722</c:v>
                </c:pt>
                <c:pt idx="26">
                  <c:v>2.6401078991867299</c:v>
                </c:pt>
                <c:pt idx="27">
                  <c:v>3.1456227377386221</c:v>
                </c:pt>
                <c:pt idx="28">
                  <c:v>3.251320280536568</c:v>
                </c:pt>
                <c:pt idx="29">
                  <c:v>3.2951040246034435</c:v>
                </c:pt>
                <c:pt idx="30">
                  <c:v>3.3116918434527762</c:v>
                </c:pt>
                <c:pt idx="31">
                  <c:v>3.4541425613228061</c:v>
                </c:pt>
                <c:pt idx="32">
                  <c:v>4.0721646758452845</c:v>
                </c:pt>
                <c:pt idx="33">
                  <c:v>4.1190818903474344</c:v>
                </c:pt>
                <c:pt idx="34">
                  <c:v>4.161867914342265</c:v>
                </c:pt>
                <c:pt idx="35">
                  <c:v>4.5328263449371615</c:v>
                </c:pt>
                <c:pt idx="36">
                  <c:v>5.5259018910919266</c:v>
                </c:pt>
                <c:pt idx="37">
                  <c:v>8.481477346607738</c:v>
                </c:pt>
                <c:pt idx="38">
                  <c:v>9.7683042481585254</c:v>
                </c:pt>
                <c:pt idx="39">
                  <c:v>14.787971002362744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5A-4961-AA18-9CFC19F0C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>
                    <a:alpha val="91000"/>
                  </a:sysClr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  <c:max val="18"/>
          <c:min val="-27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3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63032770509988E-2"/>
          <c:y val="0.166293545693152"/>
          <c:w val="0.91708136482939628"/>
          <c:h val="0.7646786235053951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Forecasts_Feb2026!$CK$1</c:f>
              <c:strCache>
                <c:ptCount val="1"/>
                <c:pt idx="0">
                  <c:v>FY 2025 Actual</c:v>
                </c:pt>
              </c:strCache>
            </c:strRef>
          </c:tx>
          <c:spPr>
            <a:solidFill>
              <a:srgbClr val="174A7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Forecasts_Feb2026!$CK$3:$CK$6</c:f>
              <c:numCache>
                <c:formatCode>0.0%</c:formatCode>
                <c:ptCount val="4"/>
                <c:pt idx="0">
                  <c:v>9.7761687909422718E-2</c:v>
                </c:pt>
                <c:pt idx="1">
                  <c:v>4.6552965742043699E-2</c:v>
                </c:pt>
                <c:pt idx="2">
                  <c:v>2.5082353937087437E-2</c:v>
                </c:pt>
                <c:pt idx="3">
                  <c:v>5.6061616213262881E-2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8-4C9A-974E-6F245E810046}"/>
            </c:ext>
          </c:extLst>
        </c:ser>
        <c:ser>
          <c:idx val="0"/>
          <c:order val="1"/>
          <c:tx>
            <c:strRef>
              <c:f>Forecasts_Feb2026!$CN$1</c:f>
              <c:strCache>
                <c:ptCount val="1"/>
                <c:pt idx="0">
                  <c:v>FY 2026 Forecast</c:v>
                </c:pt>
              </c:strCache>
            </c:strRef>
          </c:tx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Forecasts_Feb2026!$CN$3:$CN$6</c:f>
              <c:numCache>
                <c:formatCode>0.0%</c:formatCode>
                <c:ptCount val="4"/>
                <c:pt idx="0">
                  <c:v>4.5482671459774145E-2</c:v>
                </c:pt>
                <c:pt idx="1">
                  <c:v>-3.4395185009384453E-2</c:v>
                </c:pt>
                <c:pt idx="2">
                  <c:v>3.2270546279548583E-2</c:v>
                </c:pt>
                <c:pt idx="3">
                  <c:v>2.0867832568325737E-2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8-4C9A-974E-6F245E810046}"/>
            </c:ext>
          </c:extLst>
        </c:ser>
        <c:ser>
          <c:idx val="1"/>
          <c:order val="2"/>
          <c:tx>
            <c:strRef>
              <c:f>Forecasts_Feb2026!$CQ$1</c:f>
              <c:strCache>
                <c:ptCount val="1"/>
                <c:pt idx="0">
                  <c:v>FY 2027 Forecast</c:v>
                </c:pt>
              </c:strCache>
            </c:strRef>
          </c:tx>
          <c:spPr>
            <a:solidFill>
              <a:srgbClr val="B0D0DB"/>
            </a:solidFill>
            <a:ln w="25400">
              <a:solidFill>
                <a:srgbClr val="B0D0D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Forecasts_Feb2026!$CQ$3:$CQ$6</c:f>
              <c:numCache>
                <c:formatCode>0.0%</c:formatCode>
                <c:ptCount val="4"/>
                <c:pt idx="0">
                  <c:v>3.7261505290781011E-2</c:v>
                </c:pt>
                <c:pt idx="1">
                  <c:v>-5.6090625352264731E-3</c:v>
                </c:pt>
                <c:pt idx="2">
                  <c:v>2.8316191263588246E-2</c:v>
                </c:pt>
                <c:pt idx="3">
                  <c:v>1.8939018338544958E-2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8-4C9A-974E-6F245E810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9487759"/>
        <c:axId val="1109491087"/>
      </c:barChart>
      <c:catAx>
        <c:axId val="11094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91087"/>
        <c:crosses val="autoZero"/>
        <c:auto val="1"/>
        <c:lblAlgn val="ctr"/>
        <c:lblOffset val="100"/>
        <c:noMultiLvlLbl val="0"/>
      </c:catAx>
      <c:valAx>
        <c:axId val="110949108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8775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1952383904767"/>
          <c:y val="0.16952875208780721"/>
          <c:w val="0.55580476160952319"/>
          <c:h val="6.322715342400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63079615048126E-2"/>
          <c:y val="0.19851851851851851"/>
          <c:w val="0.91708136482939628"/>
          <c:h val="0.7646786235053951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Forecasts_Feb2026!$CL$1</c:f>
              <c:strCache>
                <c:ptCount val="1"/>
                <c:pt idx="0">
                  <c:v>FY 2025 Actual</c:v>
                </c:pt>
              </c:strCache>
            </c:strRef>
          </c:tx>
          <c:spPr>
            <a:solidFill>
              <a:srgbClr val="174A7C"/>
            </a:solidFill>
            <a:ln w="25400">
              <a:solidFill>
                <a:srgbClr val="174A7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Forecasts_Feb2026!$CL$3:$CL$6</c:f>
              <c:numCache>
                <c:formatCode>0.0%</c:formatCode>
                <c:ptCount val="4"/>
                <c:pt idx="0">
                  <c:v>7.3010461827299603E-2</c:v>
                </c:pt>
                <c:pt idx="1">
                  <c:v>-3.4266525626939527E-2</c:v>
                </c:pt>
                <c:pt idx="2">
                  <c:v>2.4795912700616426E-2</c:v>
                </c:pt>
                <c:pt idx="3">
                  <c:v>3.4452806588273301E-2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F-49EC-A985-31AD229B43CE}"/>
            </c:ext>
          </c:extLst>
        </c:ser>
        <c:ser>
          <c:idx val="0"/>
          <c:order val="1"/>
          <c:tx>
            <c:strRef>
              <c:f>Forecasts_Feb2026!$CO$1</c:f>
              <c:strCache>
                <c:ptCount val="1"/>
                <c:pt idx="0">
                  <c:v>FY 2026 Forecast</c:v>
                </c:pt>
              </c:strCache>
            </c:strRef>
          </c:tx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Forecasts_Feb2026!$CO$3:$CO$6</c:f>
              <c:numCache>
                <c:formatCode>0.0%</c:formatCode>
                <c:ptCount val="4"/>
                <c:pt idx="0">
                  <c:v>3.7566952821189971E-2</c:v>
                </c:pt>
                <c:pt idx="1">
                  <c:v>-4.2790659377897278E-2</c:v>
                </c:pt>
                <c:pt idx="2">
                  <c:v>3.2100825568213608E-2</c:v>
                </c:pt>
                <c:pt idx="3">
                  <c:v>7.0979367704238835E-3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F-49EC-A985-31AD229B43CE}"/>
            </c:ext>
          </c:extLst>
        </c:ser>
        <c:ser>
          <c:idx val="1"/>
          <c:order val="2"/>
          <c:tx>
            <c:strRef>
              <c:f>Forecasts_Feb2026!$CR$1</c:f>
              <c:strCache>
                <c:ptCount val="1"/>
                <c:pt idx="0">
                  <c:v>FY 2027 Forecast</c:v>
                </c:pt>
              </c:strCache>
            </c:strRef>
          </c:tx>
          <c:spPr>
            <a:solidFill>
              <a:srgbClr val="B0D0DB"/>
            </a:solidFill>
            <a:ln w="25400">
              <a:solidFill>
                <a:srgbClr val="B0D0D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Forecasts_Feb2026!$CR$3:$CR$6</c:f>
              <c:numCache>
                <c:formatCode>0.0%</c:formatCode>
                <c:ptCount val="4"/>
                <c:pt idx="0">
                  <c:v>2.6160919540229931E-2</c:v>
                </c:pt>
                <c:pt idx="1">
                  <c:v>2.9995197380683681E-3</c:v>
                </c:pt>
                <c:pt idx="2">
                  <c:v>2.8903696787063372E-2</c:v>
                </c:pt>
                <c:pt idx="3">
                  <c:v>2.2105904757411012E-2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DF-49EC-A985-31AD229B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9487759"/>
        <c:axId val="1109491087"/>
      </c:barChart>
      <c:catAx>
        <c:axId val="11094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91087"/>
        <c:crosses val="autoZero"/>
        <c:auto val="1"/>
        <c:lblAlgn val="ctr"/>
        <c:lblOffset val="100"/>
        <c:noMultiLvlLbl val="0"/>
      </c:catAx>
      <c:valAx>
        <c:axId val="1109491087"/>
        <c:scaling>
          <c:orientation val="minMax"/>
          <c:min val="-7.0000000000000007E-2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88027776055546"/>
          <c:y val="0.173316630875686"/>
          <c:w val="0.53611972223944449"/>
          <c:h val="6.322715342400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rgbClr val="008BB0"/>
              </a:solidFill>
              <a:ln w="25400">
                <a:solidFill>
                  <a:srgbClr val="008BB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EA-4390-A5DC-A46EF6374E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Forecasts_Feb2026!$BF$3:$BF$33</c:f>
              <c:strCache>
                <c:ptCount val="31"/>
                <c:pt idx="0">
                  <c:v>LA</c:v>
                </c:pt>
                <c:pt idx="1">
                  <c:v>HI</c:v>
                </c:pt>
                <c:pt idx="2">
                  <c:v>IA</c:v>
                </c:pt>
                <c:pt idx="3">
                  <c:v>SC</c:v>
                </c:pt>
                <c:pt idx="4">
                  <c:v>MS</c:v>
                </c:pt>
                <c:pt idx="5">
                  <c:v>OK</c:v>
                </c:pt>
                <c:pt idx="6">
                  <c:v>IN</c:v>
                </c:pt>
                <c:pt idx="7">
                  <c:v>MO</c:v>
                </c:pt>
                <c:pt idx="8">
                  <c:v>GA</c:v>
                </c:pt>
                <c:pt idx="9">
                  <c:v>NM</c:v>
                </c:pt>
                <c:pt idx="10">
                  <c:v>UT</c:v>
                </c:pt>
                <c:pt idx="11">
                  <c:v>MN</c:v>
                </c:pt>
                <c:pt idx="12">
                  <c:v>ME</c:v>
                </c:pt>
                <c:pt idx="13">
                  <c:v>CO</c:v>
                </c:pt>
                <c:pt idx="14">
                  <c:v>AL</c:v>
                </c:pt>
                <c:pt idx="15">
                  <c:v>VT</c:v>
                </c:pt>
                <c:pt idx="16">
                  <c:v>ID</c:v>
                </c:pt>
                <c:pt idx="17">
                  <c:v>PA</c:v>
                </c:pt>
                <c:pt idx="18">
                  <c:v>RI</c:v>
                </c:pt>
                <c:pt idx="19">
                  <c:v>VA</c:v>
                </c:pt>
                <c:pt idx="20">
                  <c:v>CT</c:v>
                </c:pt>
                <c:pt idx="21">
                  <c:v>AZ</c:v>
                </c:pt>
                <c:pt idx="22">
                  <c:v>MA</c:v>
                </c:pt>
                <c:pt idx="23">
                  <c:v>KS</c:v>
                </c:pt>
                <c:pt idx="24">
                  <c:v>MD</c:v>
                </c:pt>
                <c:pt idx="25">
                  <c:v>CA</c:v>
                </c:pt>
                <c:pt idx="26">
                  <c:v>MI</c:v>
                </c:pt>
                <c:pt idx="27">
                  <c:v>DE</c:v>
                </c:pt>
                <c:pt idx="28">
                  <c:v>OR</c:v>
                </c:pt>
                <c:pt idx="29">
                  <c:v>NY</c:v>
                </c:pt>
                <c:pt idx="30">
                  <c:v>NE</c:v>
                </c:pt>
              </c:strCache>
            </c:strRef>
          </c:cat>
          <c:val>
            <c:numRef>
              <c:f>Forecasts_Feb2026!$BG$3:$BG$33</c:f>
              <c:numCache>
                <c:formatCode>#,##0.0_);[Red]\(#,##0.0\)</c:formatCode>
                <c:ptCount val="31"/>
                <c:pt idx="0">
                  <c:v>-16.268193448261396</c:v>
                </c:pt>
                <c:pt idx="1">
                  <c:v>-12.374575837734733</c:v>
                </c:pt>
                <c:pt idx="2">
                  <c:v>-11.47043961596766</c:v>
                </c:pt>
                <c:pt idx="3">
                  <c:v>-3.5636607581650019</c:v>
                </c:pt>
                <c:pt idx="4">
                  <c:v>-3.5605613042381647</c:v>
                </c:pt>
                <c:pt idx="5">
                  <c:v>-3.3305882345832956</c:v>
                </c:pt>
                <c:pt idx="6">
                  <c:v>-1.5183258126899513</c:v>
                </c:pt>
                <c:pt idx="7">
                  <c:v>-1.2394306767433312</c:v>
                </c:pt>
                <c:pt idx="8">
                  <c:v>-0.959261873512402</c:v>
                </c:pt>
                <c:pt idx="9">
                  <c:v>1.4884979702300449</c:v>
                </c:pt>
                <c:pt idx="10">
                  <c:v>1.4888254848081488</c:v>
                </c:pt>
                <c:pt idx="11">
                  <c:v>2.1493756003842459</c:v>
                </c:pt>
                <c:pt idx="12">
                  <c:v>2.2598251795843991</c:v>
                </c:pt>
                <c:pt idx="13">
                  <c:v>2.2794786905250066</c:v>
                </c:pt>
                <c:pt idx="14">
                  <c:v>2.8262183025936882</c:v>
                </c:pt>
                <c:pt idx="15">
                  <c:v>3.7566952821189972</c:v>
                </c:pt>
                <c:pt idx="16">
                  <c:v>3.9372761079105647</c:v>
                </c:pt>
                <c:pt idx="17">
                  <c:v>3.9485137024239703</c:v>
                </c:pt>
                <c:pt idx="18">
                  <c:v>4.1062164277670625</c:v>
                </c:pt>
                <c:pt idx="19">
                  <c:v>4.4648194111922388</c:v>
                </c:pt>
                <c:pt idx="20">
                  <c:v>4.9203405832398417</c:v>
                </c:pt>
                <c:pt idx="21">
                  <c:v>5.3958321417607609</c:v>
                </c:pt>
                <c:pt idx="22">
                  <c:v>5.4544773884396527</c:v>
                </c:pt>
                <c:pt idx="23">
                  <c:v>5.7587511356500904</c:v>
                </c:pt>
                <c:pt idx="24">
                  <c:v>5.8745309382991708</c:v>
                </c:pt>
                <c:pt idx="25">
                  <c:v>5.8857871529751566</c:v>
                </c:pt>
                <c:pt idx="26">
                  <c:v>6.0862501380191398</c:v>
                </c:pt>
                <c:pt idx="27">
                  <c:v>6.2772742531050847</c:v>
                </c:pt>
                <c:pt idx="28">
                  <c:v>9.1075705050349161</c:v>
                </c:pt>
                <c:pt idx="29">
                  <c:v>10.945899576804301</c:v>
                </c:pt>
                <c:pt idx="30">
                  <c:v>40.140175966593283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A-4390-A5DC-A46EF6374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  <c:max val="42"/>
          <c:min val="-21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3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 rot="-5400000" vert="horz"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0573E"/>
              </a:solidFill>
              <a:ln w="25400">
                <a:solidFill>
                  <a:srgbClr val="F0573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E-4B45-A6E5-2EB6294715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Forecasts_Feb2026!$BL$3:$BL$39</c:f>
              <c:strCache>
                <c:ptCount val="37"/>
                <c:pt idx="0">
                  <c:v>UT</c:v>
                </c:pt>
                <c:pt idx="1">
                  <c:v>AL</c:v>
                </c:pt>
                <c:pt idx="2">
                  <c:v>ID</c:v>
                </c:pt>
                <c:pt idx="3">
                  <c:v>MI</c:v>
                </c:pt>
                <c:pt idx="4">
                  <c:v>WY</c:v>
                </c:pt>
                <c:pt idx="5">
                  <c:v>KS</c:v>
                </c:pt>
                <c:pt idx="6">
                  <c:v>MA</c:v>
                </c:pt>
                <c:pt idx="7">
                  <c:v>OK</c:v>
                </c:pt>
                <c:pt idx="8">
                  <c:v>FL</c:v>
                </c:pt>
                <c:pt idx="9">
                  <c:v>MS</c:v>
                </c:pt>
                <c:pt idx="10">
                  <c:v>GA</c:v>
                </c:pt>
                <c:pt idx="11">
                  <c:v>CA</c:v>
                </c:pt>
                <c:pt idx="12">
                  <c:v>TN</c:v>
                </c:pt>
                <c:pt idx="13">
                  <c:v>MO</c:v>
                </c:pt>
                <c:pt idx="14">
                  <c:v>VT</c:v>
                </c:pt>
                <c:pt idx="15">
                  <c:v>AZ</c:v>
                </c:pt>
                <c:pt idx="16">
                  <c:v>CT</c:v>
                </c:pt>
                <c:pt idx="17">
                  <c:v>RI</c:v>
                </c:pt>
                <c:pt idx="18">
                  <c:v>VA</c:v>
                </c:pt>
                <c:pt idx="19">
                  <c:v>WI</c:v>
                </c:pt>
                <c:pt idx="20">
                  <c:v>NE</c:v>
                </c:pt>
                <c:pt idx="21">
                  <c:v>NM</c:v>
                </c:pt>
                <c:pt idx="22">
                  <c:v>ME</c:v>
                </c:pt>
                <c:pt idx="23">
                  <c:v>CO</c:v>
                </c:pt>
                <c:pt idx="24">
                  <c:v>PA</c:v>
                </c:pt>
                <c:pt idx="25">
                  <c:v>IA</c:v>
                </c:pt>
                <c:pt idx="26">
                  <c:v>HI</c:v>
                </c:pt>
                <c:pt idx="27">
                  <c:v>SC</c:v>
                </c:pt>
                <c:pt idx="28">
                  <c:v>TX</c:v>
                </c:pt>
                <c:pt idx="29">
                  <c:v>SD</c:v>
                </c:pt>
                <c:pt idx="30">
                  <c:v>MN</c:v>
                </c:pt>
                <c:pt idx="31">
                  <c:v>WV</c:v>
                </c:pt>
                <c:pt idx="32">
                  <c:v>NY</c:v>
                </c:pt>
                <c:pt idx="33">
                  <c:v>IN</c:v>
                </c:pt>
                <c:pt idx="34">
                  <c:v>WA</c:v>
                </c:pt>
                <c:pt idx="35">
                  <c:v>MD</c:v>
                </c:pt>
                <c:pt idx="36">
                  <c:v>LA</c:v>
                </c:pt>
              </c:strCache>
            </c:strRef>
          </c:cat>
          <c:val>
            <c:numRef>
              <c:f>Forecasts_Feb2026!$BM$3:$BM$39</c:f>
              <c:numCache>
                <c:formatCode>#,##0.0_);[Red]\(#,##0.0\)</c:formatCode>
                <c:ptCount val="37"/>
                <c:pt idx="0">
                  <c:v>-6.0539140270830147</c:v>
                </c:pt>
                <c:pt idx="1">
                  <c:v>-2.4644366708306555</c:v>
                </c:pt>
                <c:pt idx="2">
                  <c:v>-2.0336283552443981</c:v>
                </c:pt>
                <c:pt idx="3">
                  <c:v>-1.6562773685023922</c:v>
                </c:pt>
                <c:pt idx="4">
                  <c:v>-0.42405730868388314</c:v>
                </c:pt>
                <c:pt idx="5">
                  <c:v>0.27449603793454574</c:v>
                </c:pt>
                <c:pt idx="6">
                  <c:v>1.0938639441608502</c:v>
                </c:pt>
                <c:pt idx="7">
                  <c:v>1.279759090274684</c:v>
                </c:pt>
                <c:pt idx="8">
                  <c:v>1.3544855989378748</c:v>
                </c:pt>
                <c:pt idx="9">
                  <c:v>1.7699448690613147</c:v>
                </c:pt>
                <c:pt idx="10">
                  <c:v>2.2449931178838849</c:v>
                </c:pt>
                <c:pt idx="11">
                  <c:v>2.377834652699244</c:v>
                </c:pt>
                <c:pt idx="12">
                  <c:v>2.4189668055058946</c:v>
                </c:pt>
                <c:pt idx="13">
                  <c:v>2.6474394048985985</c:v>
                </c:pt>
                <c:pt idx="14">
                  <c:v>2.6532923475165791</c:v>
                </c:pt>
                <c:pt idx="15">
                  <c:v>2.9833338078677483</c:v>
                </c:pt>
                <c:pt idx="16">
                  <c:v>3.0003750513680951</c:v>
                </c:pt>
                <c:pt idx="17">
                  <c:v>3.1859259648346474</c:v>
                </c:pt>
                <c:pt idx="18">
                  <c:v>3.2100825568213609</c:v>
                </c:pt>
                <c:pt idx="19">
                  <c:v>3.2139026507993234</c:v>
                </c:pt>
                <c:pt idx="20">
                  <c:v>3.5042847832943305</c:v>
                </c:pt>
                <c:pt idx="21">
                  <c:v>3.5679251739477502</c:v>
                </c:pt>
                <c:pt idx="22">
                  <c:v>3.6983912748810166</c:v>
                </c:pt>
                <c:pt idx="23">
                  <c:v>3.7507782811258732</c:v>
                </c:pt>
                <c:pt idx="24">
                  <c:v>3.7895080717610816</c:v>
                </c:pt>
                <c:pt idx="25">
                  <c:v>3.9457838437743602</c:v>
                </c:pt>
                <c:pt idx="26">
                  <c:v>3.9949314640206115</c:v>
                </c:pt>
                <c:pt idx="27">
                  <c:v>4.0131668575612416</c:v>
                </c:pt>
                <c:pt idx="28">
                  <c:v>4.1417051849697382</c:v>
                </c:pt>
                <c:pt idx="29">
                  <c:v>4.4334148099700235</c:v>
                </c:pt>
                <c:pt idx="30">
                  <c:v>4.6395911780527159</c:v>
                </c:pt>
                <c:pt idx="31">
                  <c:v>4.9116347206062647</c:v>
                </c:pt>
                <c:pt idx="32">
                  <c:v>5.4089119541875448</c:v>
                </c:pt>
                <c:pt idx="33">
                  <c:v>5.6076436235741021</c:v>
                </c:pt>
                <c:pt idx="34">
                  <c:v>6.9386437964267342</c:v>
                </c:pt>
                <c:pt idx="35">
                  <c:v>8.4981809735036347</c:v>
                </c:pt>
                <c:pt idx="36">
                  <c:v>10.99907588048055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AE-4B45-A6E5-2EB62947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63079615048126E-2"/>
          <c:y val="0.19851851851851851"/>
          <c:w val="0.91708136482939628"/>
          <c:h val="0.7646786235053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Forecasts_Feb2026!$CQ$2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8BB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Forecasts_Feb2026!$CQ$3:$CQ$6</c:f>
              <c:numCache>
                <c:formatCode>0.0%</c:formatCode>
                <c:ptCount val="4"/>
                <c:pt idx="0">
                  <c:v>3.7261505290781011E-2</c:v>
                </c:pt>
                <c:pt idx="1">
                  <c:v>-5.6090625352264731E-3</c:v>
                </c:pt>
                <c:pt idx="2">
                  <c:v>2.8316191263588246E-2</c:v>
                </c:pt>
                <c:pt idx="3">
                  <c:v>1.8939018338544958E-2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C-4640-9704-1044AEBC711A}"/>
            </c:ext>
          </c:extLst>
        </c:ser>
        <c:ser>
          <c:idx val="1"/>
          <c:order val="1"/>
          <c:tx>
            <c:strRef>
              <c:f>Forecasts_Feb2026!$CR$2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B0D0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Forecasts_Feb2026!$CJ$3:$CJ$6</c:f>
              <c:strCache>
                <c:ptCount val="4"/>
                <c:pt idx="0">
                  <c:v>PIT</c:v>
                </c:pt>
                <c:pt idx="1">
                  <c:v>CIT</c:v>
                </c:pt>
                <c:pt idx="2">
                  <c:v>Sales</c:v>
                </c:pt>
                <c:pt idx="3">
                  <c:v>Total</c:v>
                </c:pt>
              </c:strCache>
            </c:strRef>
          </c:cat>
          <c:val>
            <c:numRef>
              <c:f>Forecasts_Feb2026!$CR$3:$CR$6</c:f>
              <c:numCache>
                <c:formatCode>0.0%</c:formatCode>
                <c:ptCount val="4"/>
                <c:pt idx="0">
                  <c:v>2.6160919540229931E-2</c:v>
                </c:pt>
                <c:pt idx="1">
                  <c:v>2.9995197380683681E-3</c:v>
                </c:pt>
                <c:pt idx="2">
                  <c:v>2.8903696787063372E-2</c:v>
                </c:pt>
                <c:pt idx="3">
                  <c:v>2.2105904757411012E-2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C-4640-9704-1044AEBC7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9487759"/>
        <c:axId val="1109491087"/>
      </c:barChart>
      <c:catAx>
        <c:axId val="11094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91087"/>
        <c:crosses val="autoZero"/>
        <c:auto val="1"/>
        <c:lblAlgn val="ctr"/>
        <c:lblOffset val="100"/>
        <c:noMultiLvlLbl val="0"/>
      </c:catAx>
      <c:valAx>
        <c:axId val="110949108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1094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47524059492561"/>
          <c:y val="0.2074074074074074"/>
          <c:w val="0.21598500974779727"/>
          <c:h val="6.322715342400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Forecasts_Feb2026!$BC$3:$BC$42</c:f>
              <c:strCache>
                <c:ptCount val="40"/>
                <c:pt idx="0">
                  <c:v>AK</c:v>
                </c:pt>
                <c:pt idx="1">
                  <c:v>RI</c:v>
                </c:pt>
                <c:pt idx="2">
                  <c:v>KS</c:v>
                </c:pt>
                <c:pt idx="3">
                  <c:v>GA</c:v>
                </c:pt>
                <c:pt idx="4">
                  <c:v>NE</c:v>
                </c:pt>
                <c:pt idx="5">
                  <c:v>MS</c:v>
                </c:pt>
                <c:pt idx="6">
                  <c:v>NY</c:v>
                </c:pt>
                <c:pt idx="7">
                  <c:v>LA</c:v>
                </c:pt>
                <c:pt idx="8">
                  <c:v>TN</c:v>
                </c:pt>
                <c:pt idx="9">
                  <c:v>OK</c:v>
                </c:pt>
                <c:pt idx="10">
                  <c:v>AL</c:v>
                </c:pt>
                <c:pt idx="11">
                  <c:v>MI</c:v>
                </c:pt>
                <c:pt idx="12">
                  <c:v>NM</c:v>
                </c:pt>
                <c:pt idx="13">
                  <c:v>PA</c:v>
                </c:pt>
                <c:pt idx="14">
                  <c:v>MA</c:v>
                </c:pt>
                <c:pt idx="15">
                  <c:v>DE</c:v>
                </c:pt>
                <c:pt idx="16">
                  <c:v>ME</c:v>
                </c:pt>
                <c:pt idx="17">
                  <c:v>MD</c:v>
                </c:pt>
                <c:pt idx="18">
                  <c:v>HI</c:v>
                </c:pt>
                <c:pt idx="19">
                  <c:v>FL</c:v>
                </c:pt>
                <c:pt idx="20">
                  <c:v>SC</c:v>
                </c:pt>
                <c:pt idx="21">
                  <c:v>MN</c:v>
                </c:pt>
                <c:pt idx="22">
                  <c:v>CA</c:v>
                </c:pt>
                <c:pt idx="23">
                  <c:v>SD</c:v>
                </c:pt>
                <c:pt idx="24">
                  <c:v>VT</c:v>
                </c:pt>
                <c:pt idx="25">
                  <c:v>TX</c:v>
                </c:pt>
                <c:pt idx="26">
                  <c:v>IN</c:v>
                </c:pt>
                <c:pt idx="27">
                  <c:v>ID</c:v>
                </c:pt>
                <c:pt idx="28">
                  <c:v>VA</c:v>
                </c:pt>
                <c:pt idx="29">
                  <c:v>WI</c:v>
                </c:pt>
                <c:pt idx="30">
                  <c:v>WV</c:v>
                </c:pt>
                <c:pt idx="31">
                  <c:v>UT</c:v>
                </c:pt>
                <c:pt idx="32">
                  <c:v>MO</c:v>
                </c:pt>
                <c:pt idx="33">
                  <c:v>IA</c:v>
                </c:pt>
                <c:pt idx="34">
                  <c:v>AZ</c:v>
                </c:pt>
                <c:pt idx="35">
                  <c:v>WA</c:v>
                </c:pt>
                <c:pt idx="36">
                  <c:v>CT</c:v>
                </c:pt>
                <c:pt idx="37">
                  <c:v>OR</c:v>
                </c:pt>
                <c:pt idx="38">
                  <c:v>CO</c:v>
                </c:pt>
                <c:pt idx="39">
                  <c:v>WY</c:v>
                </c:pt>
              </c:strCache>
            </c:strRef>
          </c:cat>
          <c:val>
            <c:numRef>
              <c:f>Forecasts_Feb2026!$BD$3:$BD$42</c:f>
              <c:numCache>
                <c:formatCode>#,##0.0_);[Red]\(#,##0.0\)</c:formatCode>
                <c:ptCount val="40"/>
                <c:pt idx="0">
                  <c:v>-12.331682194524424</c:v>
                </c:pt>
                <c:pt idx="1">
                  <c:v>-1.5390455157182756</c:v>
                </c:pt>
                <c:pt idx="2">
                  <c:v>-0.91817577345796964</c:v>
                </c:pt>
                <c:pt idx="3">
                  <c:v>-0.43429250878714004</c:v>
                </c:pt>
                <c:pt idx="4">
                  <c:v>-0.32130859186698657</c:v>
                </c:pt>
                <c:pt idx="5">
                  <c:v>-0.25953389830508955</c:v>
                </c:pt>
                <c:pt idx="6">
                  <c:v>-0.17495217570283556</c:v>
                </c:pt>
                <c:pt idx="7">
                  <c:v>-0.11103002176937624</c:v>
                </c:pt>
                <c:pt idx="8">
                  <c:v>0.53417852906286534</c:v>
                </c:pt>
                <c:pt idx="9">
                  <c:v>0.75319843131492292</c:v>
                </c:pt>
                <c:pt idx="10">
                  <c:v>0.76241137041589069</c:v>
                </c:pt>
                <c:pt idx="11">
                  <c:v>0.9609528524068911</c:v>
                </c:pt>
                <c:pt idx="12">
                  <c:v>1.2185628960329411</c:v>
                </c:pt>
                <c:pt idx="13">
                  <c:v>1.2541390728476822</c:v>
                </c:pt>
                <c:pt idx="14">
                  <c:v>1.2825412526415179</c:v>
                </c:pt>
                <c:pt idx="15">
                  <c:v>1.3358806457728765</c:v>
                </c:pt>
                <c:pt idx="16">
                  <c:v>1.3709296486289511</c:v>
                </c:pt>
                <c:pt idx="17">
                  <c:v>1.3976416355062782</c:v>
                </c:pt>
                <c:pt idx="18">
                  <c:v>2.0000052601817413</c:v>
                </c:pt>
                <c:pt idx="19">
                  <c:v>2.1838685952439323</c:v>
                </c:pt>
                <c:pt idx="20">
                  <c:v>2.2373123562382697</c:v>
                </c:pt>
                <c:pt idx="21">
                  <c:v>2.3369515082562038</c:v>
                </c:pt>
                <c:pt idx="22">
                  <c:v>2.3663526888961743</c:v>
                </c:pt>
                <c:pt idx="23">
                  <c:v>2.3819481656281978</c:v>
                </c:pt>
                <c:pt idx="24">
                  <c:v>2.4102377084507447</c:v>
                </c:pt>
                <c:pt idx="25">
                  <c:v>2.5959863570143229</c:v>
                </c:pt>
                <c:pt idx="26">
                  <c:v>2.7166988437833379</c:v>
                </c:pt>
                <c:pt idx="27">
                  <c:v>3.0443693733734456</c:v>
                </c:pt>
                <c:pt idx="28">
                  <c:v>3.0530013844541206</c:v>
                </c:pt>
                <c:pt idx="29">
                  <c:v>3.0636517744846032</c:v>
                </c:pt>
                <c:pt idx="30">
                  <c:v>3.1975386035016444</c:v>
                </c:pt>
                <c:pt idx="31">
                  <c:v>3.586077712893966</c:v>
                </c:pt>
                <c:pt idx="32">
                  <c:v>3.8022813688212929</c:v>
                </c:pt>
                <c:pt idx="33">
                  <c:v>4.1802022678516702</c:v>
                </c:pt>
                <c:pt idx="34">
                  <c:v>4.1819180567428615</c:v>
                </c:pt>
                <c:pt idx="35">
                  <c:v>4.6664671572251759</c:v>
                </c:pt>
                <c:pt idx="36">
                  <c:v>6.2692283040635814</c:v>
                </c:pt>
                <c:pt idx="37">
                  <c:v>7.6718048844227056</c:v>
                </c:pt>
                <c:pt idx="38">
                  <c:v>8.6258098551893028</c:v>
                </c:pt>
                <c:pt idx="39">
                  <c:v>22.012371676757041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A-487B-882C-D0C867EF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3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Forecasts_Feb2026!$BI$3:$BI$33</c:f>
              <c:strCache>
                <c:ptCount val="31"/>
                <c:pt idx="0">
                  <c:v>MS</c:v>
                </c:pt>
                <c:pt idx="1">
                  <c:v>HI</c:v>
                </c:pt>
                <c:pt idx="2">
                  <c:v>GA</c:v>
                </c:pt>
                <c:pt idx="3">
                  <c:v>OK</c:v>
                </c:pt>
                <c:pt idx="4">
                  <c:v>LA</c:v>
                </c:pt>
                <c:pt idx="5">
                  <c:v>CT</c:v>
                </c:pt>
                <c:pt idx="6">
                  <c:v>ID</c:v>
                </c:pt>
                <c:pt idx="7">
                  <c:v>MA</c:v>
                </c:pt>
                <c:pt idx="8">
                  <c:v>ME</c:v>
                </c:pt>
                <c:pt idx="9">
                  <c:v>NE</c:v>
                </c:pt>
                <c:pt idx="10">
                  <c:v>VT</c:v>
                </c:pt>
                <c:pt idx="11">
                  <c:v>MI</c:v>
                </c:pt>
                <c:pt idx="12">
                  <c:v>MD</c:v>
                </c:pt>
                <c:pt idx="13">
                  <c:v>SC</c:v>
                </c:pt>
                <c:pt idx="14">
                  <c:v>AL</c:v>
                </c:pt>
                <c:pt idx="15">
                  <c:v>NM</c:v>
                </c:pt>
                <c:pt idx="16">
                  <c:v>MN</c:v>
                </c:pt>
                <c:pt idx="17">
                  <c:v>IN</c:v>
                </c:pt>
                <c:pt idx="18">
                  <c:v>MO</c:v>
                </c:pt>
                <c:pt idx="19">
                  <c:v>CA</c:v>
                </c:pt>
                <c:pt idx="20">
                  <c:v>KS</c:v>
                </c:pt>
                <c:pt idx="21">
                  <c:v>VA</c:v>
                </c:pt>
                <c:pt idx="22">
                  <c:v>RI</c:v>
                </c:pt>
                <c:pt idx="23">
                  <c:v>DE</c:v>
                </c:pt>
                <c:pt idx="24">
                  <c:v>PA</c:v>
                </c:pt>
                <c:pt idx="25">
                  <c:v>UT</c:v>
                </c:pt>
                <c:pt idx="26">
                  <c:v>IA</c:v>
                </c:pt>
                <c:pt idx="27">
                  <c:v>AZ</c:v>
                </c:pt>
                <c:pt idx="28">
                  <c:v>NY</c:v>
                </c:pt>
                <c:pt idx="29">
                  <c:v>OR</c:v>
                </c:pt>
                <c:pt idx="30">
                  <c:v>CO</c:v>
                </c:pt>
              </c:strCache>
            </c:strRef>
          </c:cat>
          <c:val>
            <c:numRef>
              <c:f>Forecasts_Feb2026!$BJ$3:$BJ$33</c:f>
              <c:numCache>
                <c:formatCode>#,##0.0_);[Red]\(#,##0.0\)</c:formatCode>
                <c:ptCount val="31"/>
                <c:pt idx="0">
                  <c:v>-4.5863636363636404</c:v>
                </c:pt>
                <c:pt idx="1">
                  <c:v>-1.73278854302369</c:v>
                </c:pt>
                <c:pt idx="2">
                  <c:v>0.25195142357395384</c:v>
                </c:pt>
                <c:pt idx="3">
                  <c:v>0.57777205458649528</c:v>
                </c:pt>
                <c:pt idx="4">
                  <c:v>0.85410144020037337</c:v>
                </c:pt>
                <c:pt idx="5">
                  <c:v>1.0226587657515944</c:v>
                </c:pt>
                <c:pt idx="6">
                  <c:v>1.1556060796502228</c:v>
                </c:pt>
                <c:pt idx="7">
                  <c:v>1.2087756043878022</c:v>
                </c:pt>
                <c:pt idx="8">
                  <c:v>1.7915949962411408</c:v>
                </c:pt>
                <c:pt idx="9">
                  <c:v>1.8589444947511431</c:v>
                </c:pt>
                <c:pt idx="10">
                  <c:v>2.206350328831062</c:v>
                </c:pt>
                <c:pt idx="11">
                  <c:v>2.3380987428537443</c:v>
                </c:pt>
                <c:pt idx="12">
                  <c:v>2.3858872459225386</c:v>
                </c:pt>
                <c:pt idx="13">
                  <c:v>2.3990722285442456</c:v>
                </c:pt>
                <c:pt idx="14">
                  <c:v>2.5664866957451951</c:v>
                </c:pt>
                <c:pt idx="15">
                  <c:v>2.616091954022993</c:v>
                </c:pt>
                <c:pt idx="16">
                  <c:v>2.8505936287763016</c:v>
                </c:pt>
                <c:pt idx="17">
                  <c:v>2.9841151099318681</c:v>
                </c:pt>
                <c:pt idx="18">
                  <c:v>3.1502274310535592</c:v>
                </c:pt>
                <c:pt idx="19">
                  <c:v>3.1645385954730121</c:v>
                </c:pt>
                <c:pt idx="20">
                  <c:v>3.2355915065722956</c:v>
                </c:pt>
                <c:pt idx="21">
                  <c:v>3.581126283892802</c:v>
                </c:pt>
                <c:pt idx="22">
                  <c:v>3.6179731569733558</c:v>
                </c:pt>
                <c:pt idx="23">
                  <c:v>4.5601705622236253</c:v>
                </c:pt>
                <c:pt idx="24">
                  <c:v>4.6942400405988325</c:v>
                </c:pt>
                <c:pt idx="25">
                  <c:v>4.7756485201905026</c:v>
                </c:pt>
                <c:pt idx="26">
                  <c:v>5.1415525114155214</c:v>
                </c:pt>
                <c:pt idx="27">
                  <c:v>5.3680181972690209</c:v>
                </c:pt>
                <c:pt idx="28">
                  <c:v>5.9307805596465393</c:v>
                </c:pt>
                <c:pt idx="29">
                  <c:v>10.606913233843136</c:v>
                </c:pt>
                <c:pt idx="30">
                  <c:v>13.372058909816362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3-4F56-BB9C-E31644336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  <c:max val="13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08831534947021E-2"/>
          <c:y val="9.3103674540682413E-2"/>
          <c:w val="0.92069420141926706"/>
          <c:h val="0.830025650202815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BB0"/>
            </a:solidFill>
            <a:ln w="25400">
              <a:solidFill>
                <a:srgbClr val="008BB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Forecasts_Feb2026!$BO$3:$BO$39</c:f>
              <c:strCache>
                <c:ptCount val="37"/>
                <c:pt idx="0">
                  <c:v>LA</c:v>
                </c:pt>
                <c:pt idx="1">
                  <c:v>MI</c:v>
                </c:pt>
                <c:pt idx="2">
                  <c:v>FL</c:v>
                </c:pt>
                <c:pt idx="3">
                  <c:v>AL</c:v>
                </c:pt>
                <c:pt idx="4">
                  <c:v>CA</c:v>
                </c:pt>
                <c:pt idx="5">
                  <c:v>MA</c:v>
                </c:pt>
                <c:pt idx="6">
                  <c:v>WI</c:v>
                </c:pt>
                <c:pt idx="7">
                  <c:v>GA</c:v>
                </c:pt>
                <c:pt idx="8">
                  <c:v>VA</c:v>
                </c:pt>
                <c:pt idx="9">
                  <c:v>KS</c:v>
                </c:pt>
                <c:pt idx="10">
                  <c:v>MS</c:v>
                </c:pt>
                <c:pt idx="11">
                  <c:v>ME</c:v>
                </c:pt>
                <c:pt idx="12">
                  <c:v>CT</c:v>
                </c:pt>
                <c:pt idx="13">
                  <c:v>PA</c:v>
                </c:pt>
                <c:pt idx="14">
                  <c:v>VT</c:v>
                </c:pt>
                <c:pt idx="15">
                  <c:v>MO</c:v>
                </c:pt>
                <c:pt idx="16">
                  <c:v>NM</c:v>
                </c:pt>
                <c:pt idx="17">
                  <c:v>RI</c:v>
                </c:pt>
                <c:pt idx="18">
                  <c:v>NY</c:v>
                </c:pt>
                <c:pt idx="19">
                  <c:v>TN</c:v>
                </c:pt>
                <c:pt idx="20">
                  <c:v>MN</c:v>
                </c:pt>
                <c:pt idx="21">
                  <c:v>WY</c:v>
                </c:pt>
                <c:pt idx="22">
                  <c:v>UT</c:v>
                </c:pt>
                <c:pt idx="23">
                  <c:v>HI</c:v>
                </c:pt>
                <c:pt idx="24">
                  <c:v>IA</c:v>
                </c:pt>
                <c:pt idx="25">
                  <c:v>WA</c:v>
                </c:pt>
                <c:pt idx="26">
                  <c:v>SC</c:v>
                </c:pt>
                <c:pt idx="27">
                  <c:v>OK</c:v>
                </c:pt>
                <c:pt idx="28">
                  <c:v>IN</c:v>
                </c:pt>
                <c:pt idx="29">
                  <c:v>AZ</c:v>
                </c:pt>
                <c:pt idx="30">
                  <c:v>SD</c:v>
                </c:pt>
                <c:pt idx="31">
                  <c:v>WV</c:v>
                </c:pt>
                <c:pt idx="32">
                  <c:v>CO</c:v>
                </c:pt>
                <c:pt idx="33">
                  <c:v>NE</c:v>
                </c:pt>
                <c:pt idx="34">
                  <c:v>MD</c:v>
                </c:pt>
                <c:pt idx="35">
                  <c:v>TX</c:v>
                </c:pt>
                <c:pt idx="36">
                  <c:v>ID</c:v>
                </c:pt>
              </c:strCache>
            </c:strRef>
          </c:cat>
          <c:val>
            <c:numRef>
              <c:f>Forecasts_Feb2026!$BP$3:$BP$39</c:f>
              <c:numCache>
                <c:formatCode>#,##0.0_);[Red]\(#,##0.0\)</c:formatCode>
                <c:ptCount val="37"/>
                <c:pt idx="0">
                  <c:v>0.19611108027602547</c:v>
                </c:pt>
                <c:pt idx="1">
                  <c:v>0.90101888472719649</c:v>
                </c:pt>
                <c:pt idx="2">
                  <c:v>1.0626381763792243</c:v>
                </c:pt>
                <c:pt idx="3">
                  <c:v>1.7191598870747324</c:v>
                </c:pt>
                <c:pt idx="4">
                  <c:v>1.9883142931891515</c:v>
                </c:pt>
                <c:pt idx="5">
                  <c:v>2.0403957131079968</c:v>
                </c:pt>
                <c:pt idx="6">
                  <c:v>2.0536167159452092</c:v>
                </c:pt>
                <c:pt idx="7">
                  <c:v>2.218962589818064</c:v>
                </c:pt>
                <c:pt idx="8">
                  <c:v>2.2428015564202393</c:v>
                </c:pt>
                <c:pt idx="9">
                  <c:v>2.2955523672883791</c:v>
                </c:pt>
                <c:pt idx="10">
                  <c:v>2.3362958119073913</c:v>
                </c:pt>
                <c:pt idx="11">
                  <c:v>2.422141672943714</c:v>
                </c:pt>
                <c:pt idx="12">
                  <c:v>2.4974507550620602</c:v>
                </c:pt>
                <c:pt idx="13">
                  <c:v>2.5573770491803276</c:v>
                </c:pt>
                <c:pt idx="14">
                  <c:v>2.6162332545311302</c:v>
                </c:pt>
                <c:pt idx="15">
                  <c:v>2.6324538338320296</c:v>
                </c:pt>
                <c:pt idx="16">
                  <c:v>2.6740677107425395</c:v>
                </c:pt>
                <c:pt idx="17">
                  <c:v>2.8041714947856367</c:v>
                </c:pt>
                <c:pt idx="18">
                  <c:v>2.8903696787063371</c:v>
                </c:pt>
                <c:pt idx="19">
                  <c:v>2.9967413551653586</c:v>
                </c:pt>
                <c:pt idx="20">
                  <c:v>3.020177355095746</c:v>
                </c:pt>
                <c:pt idx="21">
                  <c:v>3.0958774285263027</c:v>
                </c:pt>
                <c:pt idx="22">
                  <c:v>3.1231342887854199</c:v>
                </c:pt>
                <c:pt idx="23">
                  <c:v>3.1385112475087817</c:v>
                </c:pt>
                <c:pt idx="24">
                  <c:v>3.2871422080872295</c:v>
                </c:pt>
                <c:pt idx="25">
                  <c:v>3.3454811341558242</c:v>
                </c:pt>
                <c:pt idx="26">
                  <c:v>3.4215558785282658</c:v>
                </c:pt>
                <c:pt idx="27">
                  <c:v>3.4316626970191484</c:v>
                </c:pt>
                <c:pt idx="28">
                  <c:v>3.4523597506678607</c:v>
                </c:pt>
                <c:pt idx="29">
                  <c:v>3.470476103349978</c:v>
                </c:pt>
                <c:pt idx="30">
                  <c:v>4.0297714523667354</c:v>
                </c:pt>
                <c:pt idx="31">
                  <c:v>4.2157324540744199</c:v>
                </c:pt>
                <c:pt idx="32">
                  <c:v>4.4325800844300929</c:v>
                </c:pt>
                <c:pt idx="33">
                  <c:v>4.5405905718796236</c:v>
                </c:pt>
                <c:pt idx="34">
                  <c:v>4.6814646001429674</c:v>
                </c:pt>
                <c:pt idx="35">
                  <c:v>4.695502605538505</c:v>
                </c:pt>
                <c:pt idx="36">
                  <c:v>7.967018631081535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8-48B4-A642-E780435B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1216384"/>
        <c:axId val="1460125600"/>
      </c:barChart>
      <c:catAx>
        <c:axId val="1261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460125600"/>
        <c:crosses val="autoZero"/>
        <c:auto val="1"/>
        <c:lblAlgn val="ctr"/>
        <c:lblOffset val="100"/>
        <c:tickLblSkip val="1"/>
        <c:noMultiLvlLbl val="0"/>
      </c:catAx>
      <c:valAx>
        <c:axId val="14601256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1261216384"/>
        <c:crossesAt val="1"/>
        <c:crossBetween val="between"/>
        <c:majorUnit val="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9833770778664E-2"/>
          <c:y val="0.17134529017206182"/>
          <c:w val="0.91339189704811108"/>
          <c:h val="0.70530211355159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Forecasts_Feb2026!$BR$3</c:f>
              <c:strCache>
                <c:ptCount val="1"/>
                <c:pt idx="0">
                  <c:v>Personal income tax</c:v>
                </c:pt>
              </c:strCache>
            </c:strRef>
          </c:tx>
          <c:spPr>
            <a:solidFill>
              <a:srgbClr val="F0573E"/>
            </a:solidFill>
            <a:ln w="25400">
              <a:solidFill>
                <a:srgbClr val="F0573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Forecasts_Feb2026!$CE$2:$CH$2</c:f>
              <c:strCache>
                <c:ptCount val="4"/>
                <c:pt idx="0">
                  <c:v>FY 2024</c:v>
                </c:pt>
                <c:pt idx="1">
                  <c:v>FY 2025</c:v>
                </c:pt>
                <c:pt idx="2">
                  <c:v>FY 2026
forecast</c:v>
                </c:pt>
                <c:pt idx="3">
                  <c:v>FY 2027
forecast</c:v>
                </c:pt>
              </c:strCache>
            </c:strRef>
          </c:cat>
          <c:val>
            <c:numRef>
              <c:f>Forecasts_Feb2026!$CE$3:$CH$3</c:f>
              <c:numCache>
                <c:formatCode>0.0%</c:formatCode>
                <c:ptCount val="4"/>
                <c:pt idx="0">
                  <c:v>3.0810990602028639E-3</c:v>
                </c:pt>
                <c:pt idx="1">
                  <c:v>7.3010461827299603E-2</c:v>
                </c:pt>
                <c:pt idx="2">
                  <c:v>3.7566952821189971E-2</c:v>
                </c:pt>
                <c:pt idx="3">
                  <c:v>2.6160919540229931E-2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F-4091-9B59-FBC3074E281F}"/>
            </c:ext>
          </c:extLst>
        </c:ser>
        <c:ser>
          <c:idx val="3"/>
          <c:order val="1"/>
          <c:tx>
            <c:strRef>
              <c:f>Forecasts_Feb2026!$BR$5</c:f>
              <c:strCache>
                <c:ptCount val="1"/>
                <c:pt idx="0">
                  <c:v>Sales tax</c:v>
                </c:pt>
              </c:strCache>
            </c:strRef>
          </c:tx>
          <c:spPr>
            <a:solidFill>
              <a:srgbClr val="FCB64B"/>
            </a:solidFill>
            <a:ln w="25400">
              <a:solidFill>
                <a:srgbClr val="FCB64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Forecasts_Feb2026!$CE$2:$CH$2</c:f>
              <c:strCache>
                <c:ptCount val="4"/>
                <c:pt idx="0">
                  <c:v>FY 2024</c:v>
                </c:pt>
                <c:pt idx="1">
                  <c:v>FY 2025</c:v>
                </c:pt>
                <c:pt idx="2">
                  <c:v>FY 2026
forecast</c:v>
                </c:pt>
                <c:pt idx="3">
                  <c:v>FY 2027
forecast</c:v>
                </c:pt>
              </c:strCache>
            </c:strRef>
          </c:cat>
          <c:val>
            <c:numRef>
              <c:f>Forecasts_Feb2026!$CE$5:$CH$5</c:f>
              <c:numCache>
                <c:formatCode>0.0%</c:formatCode>
                <c:ptCount val="4"/>
                <c:pt idx="0">
                  <c:v>1.1242559411776478E-2</c:v>
                </c:pt>
                <c:pt idx="1">
                  <c:v>2.4795912700616426E-2</c:v>
                </c:pt>
                <c:pt idx="2">
                  <c:v>3.2100825568213608E-2</c:v>
                </c:pt>
                <c:pt idx="3">
                  <c:v>2.8903696787063372E-2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F-4091-9B59-FBC3074E281F}"/>
            </c:ext>
          </c:extLst>
        </c:ser>
        <c:ser>
          <c:idx val="1"/>
          <c:order val="2"/>
          <c:tx>
            <c:strRef>
              <c:f>Forecasts_Feb2026!$BR$6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74A7C"/>
            </a:solidFill>
            <a:ln w="25400">
              <a:solidFill>
                <a:srgbClr val="174A7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Forecasts_Feb2026!$CE$2:$CH$2</c:f>
              <c:strCache>
                <c:ptCount val="4"/>
                <c:pt idx="0">
                  <c:v>FY 2024</c:v>
                </c:pt>
                <c:pt idx="1">
                  <c:v>FY 2025</c:v>
                </c:pt>
                <c:pt idx="2">
                  <c:v>FY 2026
forecast</c:v>
                </c:pt>
                <c:pt idx="3">
                  <c:v>FY 2027
forecast</c:v>
                </c:pt>
              </c:strCache>
            </c:strRef>
          </c:cat>
          <c:val>
            <c:numRef>
              <c:f>Forecasts_Feb2026!$CE$6:$CH$6</c:f>
              <c:numCache>
                <c:formatCode>0.0%</c:formatCode>
                <c:ptCount val="4"/>
                <c:pt idx="0">
                  <c:v>2.0618149277293833E-2</c:v>
                </c:pt>
                <c:pt idx="1">
                  <c:v>3.4452806588273301E-2</c:v>
                </c:pt>
                <c:pt idx="2">
                  <c:v>7.0979367704238835E-3</c:v>
                </c:pt>
                <c:pt idx="3">
                  <c:v>2.2105904757411012E-2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F-4091-9B59-FBC3074E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464303"/>
        <c:axId val="693470543"/>
        <c:extLst/>
      </c:barChart>
      <c:catAx>
        <c:axId val="693464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693470543"/>
        <c:crosses val="autoZero"/>
        <c:auto val="1"/>
        <c:lblAlgn val="ctr"/>
        <c:lblOffset val="100"/>
        <c:noMultiLvlLbl val="0"/>
      </c:catAx>
      <c:valAx>
        <c:axId val="69347054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/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/>
                <a:cs typeface="Arial" panose="020B0604020202020204" pitchFamily="34" charset="0"/>
              </a:defRPr>
            </a:pPr>
            <a:endParaRPr lang="en-US"/>
          </a:p>
        </c:txPr>
        <c:crossAx val="69346430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449170231673799"/>
          <c:y val="0.20420872106895729"/>
          <c:w val="0.5155083422942176"/>
          <c:h val="5.8568310540129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Lato" panose="020F0502020204030203" pitchFamily="34" charset="0"/>
          <a:ea typeface="Lato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8</xdr:row>
      <xdr:rowOff>167646</xdr:rowOff>
    </xdr:from>
    <xdr:to>
      <xdr:col>78</xdr:col>
      <xdr:colOff>91440</xdr:colOff>
      <xdr:row>28</xdr:row>
      <xdr:rowOff>91446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03D49-2A69-42BE-A80F-C7CD1175F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92</xdr:col>
      <xdr:colOff>615950</xdr:colOff>
      <xdr:row>9</xdr:row>
      <xdr:rowOff>152400</xdr:rowOff>
    </xdr:from>
    <xdr:to>
      <xdr:col>104</xdr:col>
      <xdr:colOff>311150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C7558-872E-4AFB-8B62-B595D8F5F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69</xdr:col>
      <xdr:colOff>0</xdr:colOff>
      <xdr:row>33</xdr:row>
      <xdr:rowOff>0</xdr:rowOff>
    </xdr:from>
    <xdr:to>
      <xdr:col>78</xdr:col>
      <xdr:colOff>91440</xdr:colOff>
      <xdr:row>52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6128F7-B3FD-498C-A5D2-19C51FF76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80</xdr:col>
      <xdr:colOff>0</xdr:colOff>
      <xdr:row>33</xdr:row>
      <xdr:rowOff>0</xdr:rowOff>
    </xdr:from>
    <xdr:to>
      <xdr:col>89</xdr:col>
      <xdr:colOff>91440</xdr:colOff>
      <xdr:row>52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4BB9EF-CB0B-4C06-8858-EF8E4A52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93</xdr:col>
      <xdr:colOff>25400</xdr:colOff>
      <xdr:row>35</xdr:row>
      <xdr:rowOff>88900</xdr:rowOff>
    </xdr:from>
    <xdr:to>
      <xdr:col>104</xdr:col>
      <xdr:colOff>355600</xdr:colOff>
      <xdr:row>59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586A8F-7698-4D2D-AA3A-E7C60FB27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12700</xdr:colOff>
      <xdr:row>61</xdr:row>
      <xdr:rowOff>158750</xdr:rowOff>
    </xdr:from>
    <xdr:to>
      <xdr:col>104</xdr:col>
      <xdr:colOff>342900</xdr:colOff>
      <xdr:row>86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03B6F2-9278-491F-AD9A-76AA7583E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80</xdr:col>
      <xdr:colOff>0</xdr:colOff>
      <xdr:row>9</xdr:row>
      <xdr:rowOff>0</xdr:rowOff>
    </xdr:from>
    <xdr:to>
      <xdr:col>89</xdr:col>
      <xdr:colOff>91440</xdr:colOff>
      <xdr:row>28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ACF2D2-25D3-4044-8250-01E5BB94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105</xdr:col>
      <xdr:colOff>603250</xdr:colOff>
      <xdr:row>10</xdr:row>
      <xdr:rowOff>6350</xdr:rowOff>
    </xdr:from>
    <xdr:to>
      <xdr:col>117</xdr:col>
      <xdr:colOff>298450</xdr:colOff>
      <xdr:row>34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670534-F053-469F-882A-544C15B7F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105</xdr:col>
      <xdr:colOff>615950</xdr:colOff>
      <xdr:row>35</xdr:row>
      <xdr:rowOff>158750</xdr:rowOff>
    </xdr:from>
    <xdr:to>
      <xdr:col>117</xdr:col>
      <xdr:colOff>311150</xdr:colOff>
      <xdr:row>60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93954D-4A25-4072-B67F-291F2B125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105</xdr:col>
      <xdr:colOff>603250</xdr:colOff>
      <xdr:row>61</xdr:row>
      <xdr:rowOff>114300</xdr:rowOff>
    </xdr:from>
    <xdr:to>
      <xdr:col>117</xdr:col>
      <xdr:colOff>298450</xdr:colOff>
      <xdr:row>86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C5E970-B8F4-4415-9F29-364018127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76</xdr:col>
      <xdr:colOff>165100</xdr:colOff>
      <xdr:row>58</xdr:row>
      <xdr:rowOff>57150</xdr:rowOff>
    </xdr:from>
    <xdr:to>
      <xdr:col>85</xdr:col>
      <xdr:colOff>215900</xdr:colOff>
      <xdr:row>80</xdr:row>
      <xdr:rowOff>44450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7CC0F5-6FD2-4E74-BCDA-6258D3AFB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19</xdr:col>
      <xdr:colOff>284672</xdr:colOff>
      <xdr:row>42</xdr:row>
      <xdr:rowOff>43091</xdr:rowOff>
    </xdr:from>
    <xdr:to>
      <xdr:col>27</xdr:col>
      <xdr:colOff>457200</xdr:colOff>
      <xdr:row>62</xdr:row>
      <xdr:rowOff>49884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EE67083-3A6D-1303-4D9C-822A2C32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371608" y="7453182"/>
          <a:ext cx="7090913" cy="344873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0.88222</cdr:x>
      <cdr:y>0</cdr:y>
    </cdr:from>
    <cdr:to>
      <cdr:x>1</cdr:x>
      <cdr:y>0.17111</cdr:y>
    </cdr:to>
    <cdr:pic>
      <cdr:nvPicPr>
        <cdr:cNvPr id="3" name="TPClogo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651500" y="0"/>
          <a:ext cx="673135" cy="5867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0.01467</cdr:x>
      <cdr:y>0.01704</cdr:y>
    </cdr:from>
    <cdr:to>
      <cdr:x>0.80134</cdr:x>
      <cdr:y>0.09852</cdr:y>
    </cdr:to>
    <cdr:sp macro="" textlink="">
      <cdr:nvSpPr>
        <cdr:cNvPr id="6" name="TitleBox">
          <a:extLst xmlns:a="http://schemas.openxmlformats.org/drawingml/2006/main">
            <a:ext uri="{FF2B5EF4-FFF2-40B4-BE49-F238E27FC236}">
              <a16:creationId xmlns:a16="http://schemas.microsoft.com/office/drawing/2014/main" id="{99DB2801-2BC1-920A-311C-4AC3B6B5F807}"/>
            </a:ext>
          </a:extLst>
        </cdr:cNvPr>
        <cdr:cNvSpPr txBox="1"/>
      </cdr:nvSpPr>
      <cdr:spPr>
        <a:xfrm xmlns:a="http://schemas.openxmlformats.org/drawingml/2006/main">
          <a:off x="83820" y="58426"/>
          <a:ext cx="4495819" cy="279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State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revenue forecasts for FY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2026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0.01467</cdr:x>
      <cdr:y>0.08815</cdr:y>
    </cdr:from>
    <cdr:to>
      <cdr:x>0.74267</cdr:x>
      <cdr:y>0.14444</cdr:y>
    </cdr:to>
    <cdr:sp macro="" textlink="">
      <cdr:nvSpPr>
        <cdr:cNvPr id="7" name="SubTitleBox">
          <a:extLst xmlns:a="http://schemas.openxmlformats.org/drawingml/2006/main">
            <a:ext uri="{FF2B5EF4-FFF2-40B4-BE49-F238E27FC236}">
              <a16:creationId xmlns:a16="http://schemas.microsoft.com/office/drawing/2014/main" id="{34AF1FCB-3A37-CBFB-F609-9C78E19888E3}"/>
            </a:ext>
          </a:extLst>
        </cdr:cNvPr>
        <cdr:cNvSpPr txBox="1"/>
      </cdr:nvSpPr>
      <cdr:spPr>
        <a:xfrm xmlns:a="http://schemas.openxmlformats.org/drawingml/2006/main">
          <a:off x="83839" y="302266"/>
          <a:ext cx="4160520" cy="19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000" b="0">
              <a:latin typeface="Lato" panose="020F0502020204030203" pitchFamily="34" charset="0"/>
            </a:rPr>
            <a:t>Year-over-year nominal percent change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total revenue forecasts for FY 2026,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0.88222</cdr:x>
      <cdr:y>0</cdr:y>
    </cdr:from>
    <cdr:to>
      <cdr:x>1</cdr:x>
      <cdr:y>0.17111</cdr:y>
    </cdr:to>
    <cdr:pic>
      <cdr:nvPicPr>
        <cdr:cNvPr id="3" name="TPClogo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651500" y="0"/>
          <a:ext cx="673135" cy="5867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0.01467</cdr:x>
      <cdr:y>0.01704</cdr:y>
    </cdr:from>
    <cdr:to>
      <cdr:x>0.88255</cdr:x>
      <cdr:y>0.09852</cdr:y>
    </cdr:to>
    <cdr:sp macro="" textlink="">
      <cdr:nvSpPr>
        <cdr:cNvPr id="6" name="TitleBox">
          <a:extLst xmlns:a="http://schemas.openxmlformats.org/drawingml/2006/main">
            <a:ext uri="{FF2B5EF4-FFF2-40B4-BE49-F238E27FC236}">
              <a16:creationId xmlns:a16="http://schemas.microsoft.com/office/drawing/2014/main" id="{99DB2801-2BC1-920A-311C-4AC3B6B5F807}"/>
            </a:ext>
          </a:extLst>
        </cdr:cNvPr>
        <cdr:cNvSpPr txBox="1"/>
      </cdr:nvSpPr>
      <cdr:spPr>
        <a:xfrm xmlns:a="http://schemas.openxmlformats.org/drawingml/2006/main">
          <a:off x="85180" y="57132"/>
          <a:ext cx="5039270" cy="273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State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actual revenue growth for FY 2025 vs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forecasts for FYs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2026-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27</a:t>
          </a:r>
        </a:p>
      </cdr:txBody>
    </cdr:sp>
  </cdr:relSizeAnchor>
  <cdr:relSizeAnchor xmlns:cdr="http://schemas.openxmlformats.org/drawingml/2006/chartDrawing">
    <cdr:from>
      <cdr:x>0.01467</cdr:x>
      <cdr:y>0.08815</cdr:y>
    </cdr:from>
    <cdr:to>
      <cdr:x>0.74267</cdr:x>
      <cdr:y>0.14444</cdr:y>
    </cdr:to>
    <cdr:sp macro="" textlink="">
      <cdr:nvSpPr>
        <cdr:cNvPr id="7" name="SubTitleBox">
          <a:extLst xmlns:a="http://schemas.openxmlformats.org/drawingml/2006/main">
            <a:ext uri="{FF2B5EF4-FFF2-40B4-BE49-F238E27FC236}">
              <a16:creationId xmlns:a16="http://schemas.microsoft.com/office/drawing/2014/main" id="{34AF1FCB-3A37-CBFB-F609-9C78E19888E3}"/>
            </a:ext>
          </a:extLst>
        </cdr:cNvPr>
        <cdr:cNvSpPr txBox="1"/>
      </cdr:nvSpPr>
      <cdr:spPr>
        <a:xfrm xmlns:a="http://schemas.openxmlformats.org/drawingml/2006/main">
          <a:off x="83839" y="302266"/>
          <a:ext cx="4160520" cy="19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000" b="0">
              <a:latin typeface="Lato" panose="020F0502020204030203" pitchFamily="34" charset="0"/>
            </a:rPr>
            <a:t>Year-over-year </a:t>
          </a:r>
          <a:r>
            <a:rPr lang="en-US" sz="1000" b="1">
              <a:solidFill>
                <a:srgbClr val="FF0000"/>
              </a:solidFill>
              <a:latin typeface="Lato" panose="020F0502020204030203" pitchFamily="34" charset="0"/>
            </a:rPr>
            <a:t>average</a:t>
          </a:r>
          <a:r>
            <a:rPr lang="en-US" sz="1000" b="0">
              <a:latin typeface="Lato" panose="020F0502020204030203" pitchFamily="34" charset="0"/>
            </a:rPr>
            <a:t> nominal percent change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0.88222</cdr:x>
      <cdr:y>0</cdr:y>
    </cdr:from>
    <cdr:to>
      <cdr:x>1</cdr:x>
      <cdr:y>0.17111</cdr:y>
    </cdr:to>
    <cdr:pic>
      <cdr:nvPicPr>
        <cdr:cNvPr id="3" name="TPClogo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651500" y="0"/>
          <a:ext cx="673135" cy="5867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0.01467</cdr:x>
      <cdr:y>0.01704</cdr:y>
    </cdr:from>
    <cdr:to>
      <cdr:x>0.87161</cdr:x>
      <cdr:y>0.09852</cdr:y>
    </cdr:to>
    <cdr:sp macro="" textlink="">
      <cdr:nvSpPr>
        <cdr:cNvPr id="6" name="TitleBox">
          <a:extLst xmlns:a="http://schemas.openxmlformats.org/drawingml/2006/main">
            <a:ext uri="{FF2B5EF4-FFF2-40B4-BE49-F238E27FC236}">
              <a16:creationId xmlns:a16="http://schemas.microsoft.com/office/drawing/2014/main" id="{99DB2801-2BC1-920A-311C-4AC3B6B5F807}"/>
            </a:ext>
          </a:extLst>
        </cdr:cNvPr>
        <cdr:cNvSpPr txBox="1"/>
      </cdr:nvSpPr>
      <cdr:spPr>
        <a:xfrm xmlns:a="http://schemas.openxmlformats.org/drawingml/2006/main">
          <a:off x="85180" y="57132"/>
          <a:ext cx="4975770" cy="273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State actual revenue growth for FY 2025 vs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forecasts for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FYs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2026-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27</a:t>
          </a:r>
        </a:p>
      </cdr:txBody>
    </cdr:sp>
  </cdr:relSizeAnchor>
  <cdr:relSizeAnchor xmlns:cdr="http://schemas.openxmlformats.org/drawingml/2006/chartDrawing">
    <cdr:from>
      <cdr:x>0.01467</cdr:x>
      <cdr:y>0.08815</cdr:y>
    </cdr:from>
    <cdr:to>
      <cdr:x>0.74267</cdr:x>
      <cdr:y>0.14444</cdr:y>
    </cdr:to>
    <cdr:sp macro="" textlink="">
      <cdr:nvSpPr>
        <cdr:cNvPr id="7" name="SubTitleBox">
          <a:extLst xmlns:a="http://schemas.openxmlformats.org/drawingml/2006/main">
            <a:ext uri="{FF2B5EF4-FFF2-40B4-BE49-F238E27FC236}">
              <a16:creationId xmlns:a16="http://schemas.microsoft.com/office/drawing/2014/main" id="{34AF1FCB-3A37-CBFB-F609-9C78E19888E3}"/>
            </a:ext>
          </a:extLst>
        </cdr:cNvPr>
        <cdr:cNvSpPr txBox="1"/>
      </cdr:nvSpPr>
      <cdr:spPr>
        <a:xfrm xmlns:a="http://schemas.openxmlformats.org/drawingml/2006/main">
          <a:off x="83839" y="302266"/>
          <a:ext cx="4160520" cy="19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000" b="0">
              <a:latin typeface="Lato" panose="020F0502020204030203" pitchFamily="34" charset="0"/>
            </a:rPr>
            <a:t>Year-over-year </a:t>
          </a:r>
          <a:r>
            <a:rPr lang="en-US" sz="1000" b="1">
              <a:solidFill>
                <a:srgbClr val="FF0000"/>
              </a:solidFill>
              <a:latin typeface="Lato" panose="020F0502020204030203" pitchFamily="34" charset="0"/>
            </a:rPr>
            <a:t>median </a:t>
          </a:r>
          <a:r>
            <a:rPr lang="en-US" sz="1000" b="0">
              <a:latin typeface="Lato" panose="020F0502020204030203" pitchFamily="34" charset="0"/>
            </a:rPr>
            <a:t>nominal percent change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personal income tax forecasts for FY 2026,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sales tax forecasts for FY 2026,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0.88222</cdr:x>
      <cdr:y>0</cdr:y>
    </cdr:from>
    <cdr:to>
      <cdr:x>1</cdr:x>
      <cdr:y>0.17111</cdr:y>
    </cdr:to>
    <cdr:pic>
      <cdr:nvPicPr>
        <cdr:cNvPr id="3" name="TPClogo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651500" y="0"/>
          <a:ext cx="673135" cy="5867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0.01467</cdr:x>
      <cdr:y>0.01704</cdr:y>
    </cdr:from>
    <cdr:to>
      <cdr:x>0.80134</cdr:x>
      <cdr:y>0.09852</cdr:y>
    </cdr:to>
    <cdr:sp macro="" textlink="">
      <cdr:nvSpPr>
        <cdr:cNvPr id="6" name="TitleBox">
          <a:extLst xmlns:a="http://schemas.openxmlformats.org/drawingml/2006/main">
            <a:ext uri="{FF2B5EF4-FFF2-40B4-BE49-F238E27FC236}">
              <a16:creationId xmlns:a16="http://schemas.microsoft.com/office/drawing/2014/main" id="{99DB2801-2BC1-920A-311C-4AC3B6B5F807}"/>
            </a:ext>
          </a:extLst>
        </cdr:cNvPr>
        <cdr:cNvSpPr txBox="1"/>
      </cdr:nvSpPr>
      <cdr:spPr>
        <a:xfrm xmlns:a="http://schemas.openxmlformats.org/drawingml/2006/main">
          <a:off x="83820" y="58426"/>
          <a:ext cx="4495819" cy="279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State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revenue forecasts for FY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2027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0.01467</cdr:x>
      <cdr:y>0.08815</cdr:y>
    </cdr:from>
    <cdr:to>
      <cdr:x>0.74267</cdr:x>
      <cdr:y>0.14444</cdr:y>
    </cdr:to>
    <cdr:sp macro="" textlink="">
      <cdr:nvSpPr>
        <cdr:cNvPr id="7" name="SubTitleBox">
          <a:extLst xmlns:a="http://schemas.openxmlformats.org/drawingml/2006/main">
            <a:ext uri="{FF2B5EF4-FFF2-40B4-BE49-F238E27FC236}">
              <a16:creationId xmlns:a16="http://schemas.microsoft.com/office/drawing/2014/main" id="{34AF1FCB-3A37-CBFB-F609-9C78E19888E3}"/>
            </a:ext>
          </a:extLst>
        </cdr:cNvPr>
        <cdr:cNvSpPr txBox="1"/>
      </cdr:nvSpPr>
      <cdr:spPr>
        <a:xfrm xmlns:a="http://schemas.openxmlformats.org/drawingml/2006/main">
          <a:off x="83839" y="302266"/>
          <a:ext cx="4160520" cy="19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000" b="0">
              <a:latin typeface="Lato" panose="020F0502020204030203" pitchFamily="34" charset="0"/>
            </a:rPr>
            <a:t>Year-over-year nominal percent change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total revenue forecasts for FY 2027,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personal income tax forecasts for FY 2027,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0.06548</cdr:x>
      <cdr:y>0.94167</cdr:y>
    </cdr:from>
    <cdr:to>
      <cdr:x>0.93333</cdr:x>
      <cdr:y>0.98667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63825A0-7546-4825-A667-E8B1EA1FE8E7}"/>
            </a:ext>
          </a:extLst>
        </cdr:cNvPr>
        <cdr:cNvSpPr txBox="1"/>
      </cdr:nvSpPr>
      <cdr:spPr>
        <a:xfrm xmlns:a="http://schemas.openxmlformats.org/drawingml/2006/main">
          <a:off x="419100" y="4305300"/>
          <a:ext cx="55549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/>
        </a:p>
      </cdr:txBody>
    </cdr:sp>
  </cdr:relSizeAnchor>
  <cdr:relSizeAnchor xmlns:cdr="http://schemas.openxmlformats.org/drawingml/2006/chartDrawing">
    <cdr:from>
      <cdr:x>0.04045</cdr:x>
      <cdr:y>0.02489</cdr:y>
    </cdr:from>
    <cdr:to>
      <cdr:x>0.92949</cdr:x>
      <cdr:y>0.08715</cdr:y>
    </cdr:to>
    <cdr:sp macro="" textlink="">
      <cdr:nvSpPr>
        <cdr:cNvPr id="7" name="TitleBox">
          <a:extLst xmlns:a="http://schemas.openxmlformats.org/drawingml/2006/main">
            <a:ext uri="{FF2B5EF4-FFF2-40B4-BE49-F238E27FC236}">
              <a16:creationId xmlns:a16="http://schemas.microsoft.com/office/drawing/2014/main" id="{8000409C-ACF6-43C8-88EE-DA8C9A29557D}"/>
            </a:ext>
          </a:extLst>
        </cdr:cNvPr>
        <cdr:cNvSpPr txBox="1"/>
      </cdr:nvSpPr>
      <cdr:spPr>
        <a:xfrm xmlns:a="http://schemas.openxmlformats.org/drawingml/2006/main">
          <a:off x="336550" y="116072"/>
          <a:ext cx="7397750" cy="290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1200" b="1" baseline="0">
              <a:latin typeface="Lato" panose="020F0502020204030203" pitchFamily="34" charset="0"/>
              <a:cs typeface="Arial" panose="020B0604020202020204" pitchFamily="34" charset="0"/>
            </a:rPr>
            <a:t>State sales tax forecasts for FY 2027, 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year-over-year </a:t>
          </a:r>
          <a:r>
            <a:rPr lang="en-US" sz="1200" b="1">
              <a:solidFill>
                <a:srgbClr val="FF0000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nominal</a:t>
          </a:r>
          <a:r>
            <a:rPr lang="en-US" sz="1200" b="1">
              <a:effectLst/>
              <a:latin typeface="Lato" panose="020F0502020204030203" pitchFamily="34" charset="0"/>
              <a:ea typeface="+mn-ea"/>
              <a:cs typeface="+mn-cs"/>
            </a:rPr>
            <a:t> percent change </a:t>
          </a:r>
          <a:endParaRPr lang="en-US" sz="1200" b="1">
            <a:latin typeface="Lato" panose="020F0502020204030203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0.88222</cdr:x>
      <cdr:y>0</cdr:y>
    </cdr:from>
    <cdr:to>
      <cdr:x>1</cdr:x>
      <cdr:y>0.17111</cdr:y>
    </cdr:to>
    <cdr:pic>
      <cdr:nvPicPr>
        <cdr:cNvPr id="3" name="TPClogo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651500" y="0"/>
          <a:ext cx="673135" cy="5867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0.00267</cdr:x>
      <cdr:y>0.02593</cdr:y>
    </cdr:from>
    <cdr:to>
      <cdr:x>0.876</cdr:x>
      <cdr:y>0.08889</cdr:y>
    </cdr:to>
    <cdr:sp macro="" textlink="">
      <cdr:nvSpPr>
        <cdr:cNvPr id="6" name="TitleBox">
          <a:extLst xmlns:a="http://schemas.openxmlformats.org/drawingml/2006/main">
            <a:ext uri="{FF2B5EF4-FFF2-40B4-BE49-F238E27FC236}">
              <a16:creationId xmlns:a16="http://schemas.microsoft.com/office/drawing/2014/main" id="{4F05FCCC-AF21-6B41-62F2-2C2C4DB05693}"/>
            </a:ext>
          </a:extLst>
        </cdr:cNvPr>
        <cdr:cNvSpPr txBox="1"/>
      </cdr:nvSpPr>
      <cdr:spPr>
        <a:xfrm xmlns:a="http://schemas.openxmlformats.org/drawingml/2006/main">
          <a:off x="15240" y="88900"/>
          <a:ext cx="4991100" cy="215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Actual</a:t>
          </a:r>
          <a:r>
            <a:rPr lang="en-US" sz="12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forecasted revenue</a:t>
          </a:r>
          <a:r>
            <a:rPr lang="en-US" sz="12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growth in the median state, FYs</a:t>
          </a:r>
          <a:r>
            <a:rPr lang="en-US" sz="12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2024-2027</a:t>
          </a:r>
          <a:endParaRPr lang="en-US" sz="12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0.004</cdr:x>
      <cdr:y>0.0837</cdr:y>
    </cdr:from>
    <cdr:to>
      <cdr:x>0.55956</cdr:x>
      <cdr:y>0.15778</cdr:y>
    </cdr:to>
    <cdr:sp macro="" textlink="">
      <cdr:nvSpPr>
        <cdr:cNvPr id="7" name="SubTitleBox">
          <a:extLst xmlns:a="http://schemas.openxmlformats.org/drawingml/2006/main">
            <a:ext uri="{FF2B5EF4-FFF2-40B4-BE49-F238E27FC236}">
              <a16:creationId xmlns:a16="http://schemas.microsoft.com/office/drawing/2014/main" id="{14CC0341-7AEE-4497-5059-9530345CA965}"/>
            </a:ext>
          </a:extLst>
        </cdr:cNvPr>
        <cdr:cNvSpPr txBox="1"/>
      </cdr:nvSpPr>
      <cdr:spPr>
        <a:xfrm xmlns:a="http://schemas.openxmlformats.org/drawingml/2006/main">
          <a:off x="22860" y="287020"/>
          <a:ext cx="3175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 anchorCtr="0"/>
        <a:lstStyle xmlns:a="http://schemas.openxmlformats.org/drawingml/2006/main"/>
        <a:p xmlns:a="http://schemas.openxmlformats.org/drawingml/2006/main">
          <a:r>
            <a:rPr lang="en-US" sz="1000" b="0">
              <a:latin typeface="Lato" panose="020F0502020204030203" pitchFamily="34" charset="0"/>
            </a:rPr>
            <a:t>Year-over-year nominal percent change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dropbox.com/var/containers/Bundle/Application/DDC175C1-FC23-4536-9F9F-0EB0D59E2CA8/Excel.app/A:/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fo.louisiana.gov/rev" TargetMode="External"/><Relationship Id="rId18" Type="http://schemas.openxmlformats.org/officeDocument/2006/relationships/hyperlink" Target="https://mn.gov/mmb/forecast/" TargetMode="External"/><Relationship Id="rId26" Type="http://schemas.openxmlformats.org/officeDocument/2006/relationships/hyperlink" Target="http://www.ifo.state.pa.us/data.cfm" TargetMode="External"/><Relationship Id="rId39" Type="http://schemas.openxmlformats.org/officeDocument/2006/relationships/hyperlink" Target="https://www.nj.gov/treasury/omb/fr.shtml" TargetMode="External"/><Relationship Id="rId21" Type="http://schemas.openxmlformats.org/officeDocument/2006/relationships/hyperlink" Target="https://leg.mt.gov/lfd/" TargetMode="External"/><Relationship Id="rId34" Type="http://schemas.openxmlformats.org/officeDocument/2006/relationships/hyperlink" Target="http://docs.legis.wisconsin.gov/misc/lfb/revenue_estimates/" TargetMode="External"/><Relationship Id="rId42" Type="http://schemas.openxmlformats.org/officeDocument/2006/relationships/hyperlink" Target="https://osc.ct.gov/reports/" TargetMode="External"/><Relationship Id="rId47" Type="http://schemas.openxmlformats.org/officeDocument/2006/relationships/hyperlink" Target="https://gopb.utah.gov/current-recommended-budget/" TargetMode="External"/><Relationship Id="rId50" Type="http://schemas.openxmlformats.org/officeDocument/2006/relationships/hyperlink" Target="https://content.leg.colorado.gov/EconomicForecasts" TargetMode="External"/><Relationship Id="rId7" Type="http://schemas.openxmlformats.org/officeDocument/2006/relationships/hyperlink" Target="https://dfm.idaho.gov/publication/economicpublications/" TargetMode="External"/><Relationship Id="rId2" Type="http://schemas.openxmlformats.org/officeDocument/2006/relationships/hyperlink" Target="https://www.dfa.arkansas.gov/budget/general-revenue" TargetMode="External"/><Relationship Id="rId16" Type="http://schemas.openxmlformats.org/officeDocument/2006/relationships/hyperlink" Target="https://www.mass.gov/lists/year-to-date-and-monthly-tax-collection-benchmark-ranges" TargetMode="External"/><Relationship Id="rId29" Type="http://schemas.openxmlformats.org/officeDocument/2006/relationships/hyperlink" Target="https://comptroller.texas.gov/transparency/revenue/watch/" TargetMode="External"/><Relationship Id="rId11" Type="http://schemas.openxmlformats.org/officeDocument/2006/relationships/hyperlink" Target="https://budget.kansas.gov/comparison-reports/" TargetMode="External"/><Relationship Id="rId24" Type="http://schemas.openxmlformats.org/officeDocument/2006/relationships/hyperlink" Target="https://www.oregon.gov/das/OEA/Pages/forecastecorev.aspx" TargetMode="External"/><Relationship Id="rId32" Type="http://schemas.openxmlformats.org/officeDocument/2006/relationships/hyperlink" Target="https://erfc.wa.gov/publications/publications-archives" TargetMode="External"/><Relationship Id="rId37" Type="http://schemas.openxmlformats.org/officeDocument/2006/relationships/hyperlink" Target="https://www.tn.gov/finance/fa/fa-budget-information/fa-budget-archive.html" TargetMode="External"/><Relationship Id="rId40" Type="http://schemas.openxmlformats.org/officeDocument/2006/relationships/hyperlink" Target="http://www.nmdfa.state.nm.us/State_General_Fund.aspx" TargetMode="External"/><Relationship Id="rId45" Type="http://schemas.openxmlformats.org/officeDocument/2006/relationships/hyperlink" Target="https://www.lsc.ohio.gov/publications/historical-revenues-and-expenditures" TargetMode="External"/><Relationship Id="rId5" Type="http://schemas.openxmlformats.org/officeDocument/2006/relationships/hyperlink" Target="https://opb.georgia.gov/budget-briefs" TargetMode="External"/><Relationship Id="rId15" Type="http://schemas.openxmlformats.org/officeDocument/2006/relationships/hyperlink" Target="https://www.marylandtaxes.gov/divisions/bre.php" TargetMode="External"/><Relationship Id="rId23" Type="http://schemas.openxmlformats.org/officeDocument/2006/relationships/hyperlink" Target="https://openbudget.ny.gov/budgetArchives.html" TargetMode="External"/><Relationship Id="rId28" Type="http://schemas.openxmlformats.org/officeDocument/2006/relationships/hyperlink" Target="https://bfm.sd.gov/" TargetMode="External"/><Relationship Id="rId36" Type="http://schemas.openxmlformats.org/officeDocument/2006/relationships/hyperlink" Target="https://www.osc.nc.gov/public-information/reports/general-fund-monthly-reports" TargetMode="External"/><Relationship Id="rId49" Type="http://schemas.openxmlformats.org/officeDocument/2006/relationships/hyperlink" Target="https://www.azjlbc.gov/jlbc-meetings/" TargetMode="External"/><Relationship Id="rId10" Type="http://schemas.openxmlformats.org/officeDocument/2006/relationships/hyperlink" Target="https://dom.iowa.gov/search?q=general+fund+receipts" TargetMode="External"/><Relationship Id="rId19" Type="http://schemas.openxmlformats.org/officeDocument/2006/relationships/hyperlink" Target="http://www.lbo.ms.gov/Home/Publications" TargetMode="External"/><Relationship Id="rId31" Type="http://schemas.openxmlformats.org/officeDocument/2006/relationships/hyperlink" Target="http://finance.virginia.gov/key-documents/joint-money-committee-presentations/" TargetMode="External"/><Relationship Id="rId44" Type="http://schemas.openxmlformats.org/officeDocument/2006/relationships/hyperlink" Target="https://omes.ok.gov/media-room" TargetMode="External"/><Relationship Id="rId4" Type="http://schemas.openxmlformats.org/officeDocument/2006/relationships/hyperlink" Target="http://www.edr.state.fl.us/Content/revenues/reports/detailed-revenue-report/index.cfm" TargetMode="External"/><Relationship Id="rId9" Type="http://schemas.openxmlformats.org/officeDocument/2006/relationships/hyperlink" Target="http://www.in.gov/sba/2363.htm" TargetMode="External"/><Relationship Id="rId14" Type="http://schemas.openxmlformats.org/officeDocument/2006/relationships/hyperlink" Target="https://www.maine.gov/osc/financial-reporting/revenue-reports/reports-archive" TargetMode="External"/><Relationship Id="rId22" Type="http://schemas.openxmlformats.org/officeDocument/2006/relationships/hyperlink" Target="http://www.revenue.nebraska.gov/research/gen_fund.html" TargetMode="External"/><Relationship Id="rId27" Type="http://schemas.openxmlformats.org/officeDocument/2006/relationships/hyperlink" Target="http://rfa.sc.gov/econ/reports/revenue?f=2017&amp;s=2018" TargetMode="External"/><Relationship Id="rId30" Type="http://schemas.openxmlformats.org/officeDocument/2006/relationships/hyperlink" Target="http://aoa.vermont.gov/revenue/monthly" TargetMode="External"/><Relationship Id="rId35" Type="http://schemas.openxmlformats.org/officeDocument/2006/relationships/hyperlink" Target="https://controller.nv.gov/FinancialRpts/GeneralFund/GeneralFund/" TargetMode="External"/><Relationship Id="rId43" Type="http://schemas.openxmlformats.org/officeDocument/2006/relationships/hyperlink" Target="https://das.nh.gov/accounting/acfr.aspx" TargetMode="External"/><Relationship Id="rId48" Type="http://schemas.openxmlformats.org/officeDocument/2006/relationships/hyperlink" Target="https://www.omb.nd.gov/financial-transparency/annual-comprehensive-financial-reports-acfr" TargetMode="External"/><Relationship Id="rId8" Type="http://schemas.openxmlformats.org/officeDocument/2006/relationships/hyperlink" Target="http://cgfa.ilga.gov/Resource.aspx?id=222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finance.delaware.gov/publications/DEFAC.shtml" TargetMode="External"/><Relationship Id="rId12" Type="http://schemas.openxmlformats.org/officeDocument/2006/relationships/hyperlink" Target="https://osbd.ky.gov/Publications/Pages/Quarterly-Economic-and-Revenue-Report.aspx" TargetMode="External"/><Relationship Id="rId17" Type="http://schemas.openxmlformats.org/officeDocument/2006/relationships/hyperlink" Target="http://www.house.mi.gov/hfa/revenue.asp" TargetMode="External"/><Relationship Id="rId25" Type="http://schemas.openxmlformats.org/officeDocument/2006/relationships/hyperlink" Target="https://dor.ri.gov/revenue-analysis/monthly-reports-fy21-fy11" TargetMode="External"/><Relationship Id="rId33" Type="http://schemas.openxmlformats.org/officeDocument/2006/relationships/hyperlink" Target="http://eadiv.state.wy.us/creg/creg.html" TargetMode="External"/><Relationship Id="rId38" Type="http://schemas.openxmlformats.org/officeDocument/2006/relationships/hyperlink" Target="https://budget.wv.gov/reportsandcharts/revenuereports/Pages/default.aspx" TargetMode="External"/><Relationship Id="rId46" Type="http://schemas.openxmlformats.org/officeDocument/2006/relationships/hyperlink" Target="http://budget.alabama.gov/executive_budget_document/" TargetMode="External"/><Relationship Id="rId20" Type="http://schemas.openxmlformats.org/officeDocument/2006/relationships/hyperlink" Target="https://oa.mo.gov/budget-planning/revenue-information" TargetMode="External"/><Relationship Id="rId41" Type="http://schemas.openxmlformats.org/officeDocument/2006/relationships/hyperlink" Target="http://www.tax.alaska.gov/programs/sourcebook/index.aspx" TargetMode="External"/><Relationship Id="rId1" Type="http://schemas.openxmlformats.org/officeDocument/2006/relationships/hyperlink" Target="https://dof.ca.gov/forecasting/Economics/economic-and-revenue-updates/" TargetMode="External"/><Relationship Id="rId6" Type="http://schemas.openxmlformats.org/officeDocument/2006/relationships/hyperlink" Target="http://tax.hawaii.gov/useful/a9_1cor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bo.ms.gov/Home/Publications" TargetMode="External"/><Relationship Id="rId18" Type="http://schemas.openxmlformats.org/officeDocument/2006/relationships/hyperlink" Target="https://www.azospb.gov/publications2014newweb.aspx" TargetMode="External"/><Relationship Id="rId26" Type="http://schemas.openxmlformats.org/officeDocument/2006/relationships/hyperlink" Target="http://www.oregon.gov/das/OEA/Pages/forecastecorev.aspx" TargetMode="External"/><Relationship Id="rId39" Type="http://schemas.openxmlformats.org/officeDocument/2006/relationships/hyperlink" Target="https://das.nh.gov/budget/" TargetMode="External"/><Relationship Id="rId21" Type="http://schemas.openxmlformats.org/officeDocument/2006/relationships/hyperlink" Target="https://mn.gov/mmb/forecast/forecast/" TargetMode="External"/><Relationship Id="rId34" Type="http://schemas.openxmlformats.org/officeDocument/2006/relationships/hyperlink" Target="https://www.tn.gov/finance/fa/fa-budget-information/fa-budget-archive.html" TargetMode="External"/><Relationship Id="rId42" Type="http://schemas.openxmlformats.org/officeDocument/2006/relationships/hyperlink" Target="https://www.dfa.arkansas.gov/budget/general-revenue" TargetMode="External"/><Relationship Id="rId47" Type="http://schemas.openxmlformats.org/officeDocument/2006/relationships/hyperlink" Target="https://le.utah.gov/lfa/publications.html?src=lfaar&amp;syear=ALL" TargetMode="External"/><Relationship Id="rId50" Type="http://schemas.openxmlformats.org/officeDocument/2006/relationships/hyperlink" Target="https://content.leg.colorado.gov/EconomicForecasts" TargetMode="External"/><Relationship Id="rId7" Type="http://schemas.openxmlformats.org/officeDocument/2006/relationships/hyperlink" Target="https://osbd.ky.gov/Publications/Pages/Official-Revenue-Estimates.aspx" TargetMode="External"/><Relationship Id="rId2" Type="http://schemas.openxmlformats.org/officeDocument/2006/relationships/hyperlink" Target="http://www.house.mi.gov/hfa/Consensus.asp" TargetMode="External"/><Relationship Id="rId16" Type="http://schemas.openxmlformats.org/officeDocument/2006/relationships/hyperlink" Target="https://portal.ct.gov/OPM/Bud-Other-Projects/Reports/Consensus-Revenue" TargetMode="External"/><Relationship Id="rId29" Type="http://schemas.openxmlformats.org/officeDocument/2006/relationships/hyperlink" Target="https://comptroller.texas.gov/transparency/reports/certification-revenue-estimate/" TargetMode="External"/><Relationship Id="rId11" Type="http://schemas.openxmlformats.org/officeDocument/2006/relationships/hyperlink" Target="https://legislature.maine.gov/ofpr/revenue-forecasting-committee/9609" TargetMode="External"/><Relationship Id="rId24" Type="http://schemas.openxmlformats.org/officeDocument/2006/relationships/hyperlink" Target="https://openbudget.ny.gov/budgetArchives.html" TargetMode="External"/><Relationship Id="rId32" Type="http://schemas.openxmlformats.org/officeDocument/2006/relationships/hyperlink" Target="http://eadiv.state.wy.us/creg/creg.html" TargetMode="External"/><Relationship Id="rId37" Type="http://schemas.openxmlformats.org/officeDocument/2006/relationships/hyperlink" Target="https://tax.alaska.gov/" TargetMode="External"/><Relationship Id="rId40" Type="http://schemas.openxmlformats.org/officeDocument/2006/relationships/hyperlink" Target="https://erfc.wa.gov/publications/quarterly-updates" TargetMode="External"/><Relationship Id="rId45" Type="http://schemas.openxmlformats.org/officeDocument/2006/relationships/hyperlink" Target="https://www.mdbre.gov/revenue-estimates.php" TargetMode="External"/><Relationship Id="rId5" Type="http://schemas.openxmlformats.org/officeDocument/2006/relationships/hyperlink" Target="http://nebraskalegislature.gov/reports/fiscal.php" TargetMode="External"/><Relationship Id="rId15" Type="http://schemas.openxmlformats.org/officeDocument/2006/relationships/hyperlink" Target="http://edr.state.fl.us/Content/conferences/generalrevenue/index.cfm" TargetMode="External"/><Relationship Id="rId23" Type="http://schemas.openxmlformats.org/officeDocument/2006/relationships/hyperlink" Target="http://www.in.gov/sba/2363.htm" TargetMode="External"/><Relationship Id="rId28" Type="http://schemas.openxmlformats.org/officeDocument/2006/relationships/hyperlink" Target="http://rfa.sc.gov/econ/reports/forecast" TargetMode="External"/><Relationship Id="rId36" Type="http://schemas.openxmlformats.org/officeDocument/2006/relationships/hyperlink" Target="https://www.doa.la.gov/Pages/opb/pub/REC.aspx" TargetMode="External"/><Relationship Id="rId49" Type="http://schemas.openxmlformats.org/officeDocument/2006/relationships/hyperlink" Target="https://www.revenue.pa.gov/News%20and%20Statistics/ReportsStats/MRR/Pages/default.aspx" TargetMode="External"/><Relationship Id="rId10" Type="http://schemas.openxmlformats.org/officeDocument/2006/relationships/hyperlink" Target="https://dom.iowa.gov/rec-projections" TargetMode="External"/><Relationship Id="rId19" Type="http://schemas.openxmlformats.org/officeDocument/2006/relationships/hyperlink" Target="http://www.ebudget.ca.gov/" TargetMode="External"/><Relationship Id="rId31" Type="http://schemas.openxmlformats.org/officeDocument/2006/relationships/hyperlink" Target="http://finance.virginia.gov/key-documents/joint-money-committee-presentations/" TargetMode="External"/><Relationship Id="rId44" Type="http://schemas.openxmlformats.org/officeDocument/2006/relationships/hyperlink" Target="https://obm.ohio.gov/reports-and-budgets" TargetMode="External"/><Relationship Id="rId4" Type="http://schemas.openxmlformats.org/officeDocument/2006/relationships/hyperlink" Target="http://finance.delaware.gov/publications/DEFAC.shtml" TargetMode="External"/><Relationship Id="rId9" Type="http://schemas.openxmlformats.org/officeDocument/2006/relationships/hyperlink" Target="http://tax.hawaii.gov/useful/a9_1cor/" TargetMode="External"/><Relationship Id="rId14" Type="http://schemas.openxmlformats.org/officeDocument/2006/relationships/hyperlink" Target="https://www.ndlegis.gov/fiscal/state-general-fund-revenues" TargetMode="External"/><Relationship Id="rId22" Type="http://schemas.openxmlformats.org/officeDocument/2006/relationships/hyperlink" Target="https://oa.mo.gov/budget-planning/revenue-information" TargetMode="External"/><Relationship Id="rId27" Type="http://schemas.openxmlformats.org/officeDocument/2006/relationships/hyperlink" Target="http://www.omb.ri.gov/budget/revenues/index.php" TargetMode="External"/><Relationship Id="rId30" Type="http://schemas.openxmlformats.org/officeDocument/2006/relationships/hyperlink" Target="http://aoa.vermont.gov/revenue/emergency-board" TargetMode="External"/><Relationship Id="rId35" Type="http://schemas.openxmlformats.org/officeDocument/2006/relationships/hyperlink" Target="https://budget.kansas.gov/estimates/" TargetMode="External"/><Relationship Id="rId43" Type="http://schemas.openxmlformats.org/officeDocument/2006/relationships/hyperlink" Target="https://opb.georgia.gov/budget-information/budget-documents/governors-budget-reports" TargetMode="External"/><Relationship Id="rId48" Type="http://schemas.openxmlformats.org/officeDocument/2006/relationships/hyperlink" Target="https://dfm.idaho.gov/publication/economicpublications/" TargetMode="External"/><Relationship Id="rId8" Type="http://schemas.openxmlformats.org/officeDocument/2006/relationships/hyperlink" Target="http://nmdfa.state.nm.us/General_Fund_Revenue_Estimates.aspx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budget.alabama.gov/state-receipts/" TargetMode="External"/><Relationship Id="rId12" Type="http://schemas.openxmlformats.org/officeDocument/2006/relationships/hyperlink" Target="https://budget.wv.gov/reportsandcharts/revenueestimates/Pages/default.aspx" TargetMode="External"/><Relationship Id="rId17" Type="http://schemas.openxmlformats.org/officeDocument/2006/relationships/hyperlink" Target="https://www.osbm.nc.gov/budget/governors-budget-recommendations" TargetMode="External"/><Relationship Id="rId25" Type="http://schemas.openxmlformats.org/officeDocument/2006/relationships/hyperlink" Target="https://oklahoma.gov/omes/services/budget/boe-packets.html" TargetMode="External"/><Relationship Id="rId33" Type="http://schemas.openxmlformats.org/officeDocument/2006/relationships/hyperlink" Target="http://docs.legis.wisconsin.gov/misc/lfb/revenue_estimates/" TargetMode="External"/><Relationship Id="rId38" Type="http://schemas.openxmlformats.org/officeDocument/2006/relationships/hyperlink" Target="https://www.leg.state.nv.us/Division/fiscal/Economic%20Forum/" TargetMode="External"/><Relationship Id="rId46" Type="http://schemas.openxmlformats.org/officeDocument/2006/relationships/hyperlink" Target="https://leg.mt.gov/lfd/" TargetMode="External"/><Relationship Id="rId20" Type="http://schemas.openxmlformats.org/officeDocument/2006/relationships/hyperlink" Target="https://www.mass.gov/lists/dor-briefing-book" TargetMode="External"/><Relationship Id="rId41" Type="http://schemas.openxmlformats.org/officeDocument/2006/relationships/hyperlink" Target="https://bfm.sd.gov/budget/" TargetMode="External"/><Relationship Id="rId1" Type="http://schemas.openxmlformats.org/officeDocument/2006/relationships/hyperlink" Target="http://cgfa.ilga.gov/Resource.aspx?id=1207" TargetMode="External"/><Relationship Id="rId6" Type="http://schemas.openxmlformats.org/officeDocument/2006/relationships/hyperlink" Target="https://www.njleg.state.nj.us/budget-finance/governors-budge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fm.idaho.gov/economic-analysis/economic-publications/" TargetMode="External"/><Relationship Id="rId18" Type="http://schemas.openxmlformats.org/officeDocument/2006/relationships/hyperlink" Target="https://ndlegis.gov/fiscal/state-general-fund-revenues" TargetMode="External"/><Relationship Id="rId26" Type="http://schemas.openxmlformats.org/officeDocument/2006/relationships/hyperlink" Target="https://openbudget.ny.gov/budgetArchives.html" TargetMode="External"/><Relationship Id="rId39" Type="http://schemas.openxmlformats.org/officeDocument/2006/relationships/hyperlink" Target="https://www.doa.la.gov/Pages/opb/pub/REC.aspx" TargetMode="External"/><Relationship Id="rId21" Type="http://schemas.openxmlformats.org/officeDocument/2006/relationships/hyperlink" Target="https://sites.ncleg.gov/frd/revenue-and-economic-outlook/" TargetMode="External"/><Relationship Id="rId34" Type="http://schemas.openxmlformats.org/officeDocument/2006/relationships/hyperlink" Target="http://finance.virginia.gov/key-documents/joint-money-committee-presentations/" TargetMode="External"/><Relationship Id="rId42" Type="http://schemas.openxmlformats.org/officeDocument/2006/relationships/hyperlink" Target="https://www.mdbre.gov/revenue-estimates.php" TargetMode="External"/><Relationship Id="rId47" Type="http://schemas.openxmlformats.org/officeDocument/2006/relationships/hyperlink" Target="https://www.dfa.arkansas.gov/budget/general-revenue" TargetMode="External"/><Relationship Id="rId50" Type="http://schemas.openxmlformats.org/officeDocument/2006/relationships/hyperlink" Target="http://www.ifo.state.pa.us/releases/type/6/Revenue-Estimates/" TargetMode="External"/><Relationship Id="rId7" Type="http://schemas.openxmlformats.org/officeDocument/2006/relationships/hyperlink" Target="http://finance.delaware.gov/publications/DEFAC.shtml" TargetMode="External"/><Relationship Id="rId2" Type="http://schemas.openxmlformats.org/officeDocument/2006/relationships/hyperlink" Target="https://tax.alaska.gov/" TargetMode="External"/><Relationship Id="rId16" Type="http://schemas.openxmlformats.org/officeDocument/2006/relationships/hyperlink" Target="https://budget.wv.gov/reportsandcharts/revenueestimates/Pages/default.aspx" TargetMode="External"/><Relationship Id="rId29" Type="http://schemas.openxmlformats.org/officeDocument/2006/relationships/hyperlink" Target="http://www.omb.ri.gov/budget/revenues/index.php" TargetMode="External"/><Relationship Id="rId11" Type="http://schemas.openxmlformats.org/officeDocument/2006/relationships/hyperlink" Target="https://www.nmlegis.gov/Entity/LFC/Revenue_Economic_Reports_And_Tax_Policy" TargetMode="External"/><Relationship Id="rId24" Type="http://schemas.openxmlformats.org/officeDocument/2006/relationships/hyperlink" Target="https://content.leg.colorado.gov/EconomicForecasts" TargetMode="External"/><Relationship Id="rId32" Type="http://schemas.openxmlformats.org/officeDocument/2006/relationships/hyperlink" Target="https://comptroller.texas.gov/transparency/reports/biennial-revenue-estimate/" TargetMode="External"/><Relationship Id="rId37" Type="http://schemas.openxmlformats.org/officeDocument/2006/relationships/hyperlink" Target="https://www.tn.gov/finance/fa/fa-budget-information/fa-budget-archive.html" TargetMode="External"/><Relationship Id="rId40" Type="http://schemas.openxmlformats.org/officeDocument/2006/relationships/hyperlink" Target="https://www.leg.state.nv.us/Division/fiscal/Economic%20Forum/" TargetMode="External"/><Relationship Id="rId45" Type="http://schemas.openxmlformats.org/officeDocument/2006/relationships/hyperlink" Target="https://budget.alabama.gov/state-receipts/" TargetMode="External"/><Relationship Id="rId5" Type="http://schemas.openxmlformats.org/officeDocument/2006/relationships/hyperlink" Target="http://cgfa.ilga.gov/Resource.aspx?id=1207" TargetMode="External"/><Relationship Id="rId15" Type="http://schemas.openxmlformats.org/officeDocument/2006/relationships/hyperlink" Target="https://legislature.maine.gov/ofpr/revenue-forecasting-committee/9609" TargetMode="External"/><Relationship Id="rId23" Type="http://schemas.openxmlformats.org/officeDocument/2006/relationships/hyperlink" Target="https://oa.mo.gov/budget-planning/revenue-information" TargetMode="External"/><Relationship Id="rId28" Type="http://schemas.openxmlformats.org/officeDocument/2006/relationships/hyperlink" Target="http://www.oregon.gov/das/OEA/Pages/forecastecorev.aspx" TargetMode="External"/><Relationship Id="rId36" Type="http://schemas.openxmlformats.org/officeDocument/2006/relationships/hyperlink" Target="http://docs.legis.wisconsin.gov/misc/lfb/revenue_estimates/" TargetMode="External"/><Relationship Id="rId49" Type="http://schemas.openxmlformats.org/officeDocument/2006/relationships/hyperlink" Target="https://gopb.utah.gov/current-recommended-budget/" TargetMode="External"/><Relationship Id="rId10" Type="http://schemas.openxmlformats.org/officeDocument/2006/relationships/hyperlink" Target="https://osbd.ky.gov/Publications/Pages/Official-Revenue-Estimates.aspx" TargetMode="External"/><Relationship Id="rId19" Type="http://schemas.openxmlformats.org/officeDocument/2006/relationships/hyperlink" Target="http://edr.state.fl.us/Content/conferences/generalrevenue/index.cfm" TargetMode="External"/><Relationship Id="rId31" Type="http://schemas.openxmlformats.org/officeDocument/2006/relationships/hyperlink" Target="https://bfm.sd.gov/budget/" TargetMode="External"/><Relationship Id="rId44" Type="http://schemas.openxmlformats.org/officeDocument/2006/relationships/hyperlink" Target="https://erfc.wa.gov/publications/quarterly-updates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s://opb.georgia.gov/budget-information/budget-documents/governors-budget-reports" TargetMode="External"/><Relationship Id="rId9" Type="http://schemas.openxmlformats.org/officeDocument/2006/relationships/hyperlink" Target="https://www.njleg.state.nj.us/legislativepub/finance.asp" TargetMode="External"/><Relationship Id="rId14" Type="http://schemas.openxmlformats.org/officeDocument/2006/relationships/hyperlink" Target="https://dom.iowa.gov/rec-projections" TargetMode="External"/><Relationship Id="rId22" Type="http://schemas.openxmlformats.org/officeDocument/2006/relationships/hyperlink" Target="https://mn.gov/mmb/forecast/forecast/" TargetMode="External"/><Relationship Id="rId27" Type="http://schemas.openxmlformats.org/officeDocument/2006/relationships/hyperlink" Target="https://oklahoma.gov/omes/services/budget/boe-packets.html" TargetMode="External"/><Relationship Id="rId30" Type="http://schemas.openxmlformats.org/officeDocument/2006/relationships/hyperlink" Target="http://rfa.sc.gov/econ/reports/forecast" TargetMode="External"/><Relationship Id="rId35" Type="http://schemas.openxmlformats.org/officeDocument/2006/relationships/hyperlink" Target="http://eadiv.state.wy.us/creg/creg.html" TargetMode="External"/><Relationship Id="rId43" Type="http://schemas.openxmlformats.org/officeDocument/2006/relationships/hyperlink" Target="https://leg.mt.gov/lfd/analyses-reports/" TargetMode="External"/><Relationship Id="rId48" Type="http://schemas.openxmlformats.org/officeDocument/2006/relationships/hyperlink" Target="https://obm.ohio.gov/reports-and-budgets" TargetMode="External"/><Relationship Id="rId8" Type="http://schemas.openxmlformats.org/officeDocument/2006/relationships/hyperlink" Target="http://nebraskalegislature.gov/reports/fiscal.php" TargetMode="External"/><Relationship Id="rId51" Type="http://schemas.openxmlformats.org/officeDocument/2006/relationships/printerSettings" Target="../printerSettings/printerSettings3.bin"/><Relationship Id="rId3" Type="http://schemas.openxmlformats.org/officeDocument/2006/relationships/hyperlink" Target="http://www.ebudget.ca.gov/" TargetMode="External"/><Relationship Id="rId12" Type="http://schemas.openxmlformats.org/officeDocument/2006/relationships/hyperlink" Target="http://tax.hawaii.gov/useful/a9_1cor/" TargetMode="External"/><Relationship Id="rId17" Type="http://schemas.openxmlformats.org/officeDocument/2006/relationships/hyperlink" Target="http://www.lbo.ms.gov/Home/Publications" TargetMode="External"/><Relationship Id="rId25" Type="http://schemas.openxmlformats.org/officeDocument/2006/relationships/hyperlink" Target="http://www.in.gov/sba/2363.htm" TargetMode="External"/><Relationship Id="rId33" Type="http://schemas.openxmlformats.org/officeDocument/2006/relationships/hyperlink" Target="http://aoa.vermont.gov/revenue/emergency-board" TargetMode="External"/><Relationship Id="rId38" Type="http://schemas.openxmlformats.org/officeDocument/2006/relationships/hyperlink" Target="https://budget.kansas.gov/estimates/" TargetMode="External"/><Relationship Id="rId46" Type="http://schemas.openxmlformats.org/officeDocument/2006/relationships/hyperlink" Target="https://www.mass.gov/lists/dor-briefing-book" TargetMode="External"/><Relationship Id="rId20" Type="http://schemas.openxmlformats.org/officeDocument/2006/relationships/hyperlink" Target="https://portal.ct.gov/OPM/Bud-Other-Projects/Reports/Consensus-Revenue" TargetMode="External"/><Relationship Id="rId41" Type="http://schemas.openxmlformats.org/officeDocument/2006/relationships/hyperlink" Target="https://das.nh.gov/budget/" TargetMode="External"/><Relationship Id="rId1" Type="http://schemas.openxmlformats.org/officeDocument/2006/relationships/hyperlink" Target="https://www.azleg.gov/jlbc/meeting.htm" TargetMode="External"/><Relationship Id="rId6" Type="http://schemas.openxmlformats.org/officeDocument/2006/relationships/hyperlink" Target="http://www.house.mi.gov/hfa/Consensus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48F-CBC8-4439-B7D1-4357C994912D}">
  <dimension ref="A1:BM55"/>
  <sheetViews>
    <sheetView zoomScaleNormal="100" workbookViewId="0">
      <pane xSplit="2" ySplit="2" topLeftCell="AY3" activePane="bottomRight" state="frozen"/>
      <selection activeCell="C3" sqref="C3"/>
      <selection pane="topRight" activeCell="C3" sqref="C3"/>
      <selection pane="bottomLeft" activeCell="C3" sqref="C3"/>
      <selection pane="bottomRight" activeCell="BC22" sqref="BC22"/>
    </sheetView>
  </sheetViews>
  <sheetFormatPr defaultColWidth="9.125" defaultRowHeight="13.6" x14ac:dyDescent="0.25"/>
  <cols>
    <col min="1" max="1" width="13.625" style="2" customWidth="1"/>
    <col min="2" max="2" width="5.625" style="2" customWidth="1"/>
    <col min="3" max="58" width="11.875" style="2" customWidth="1"/>
    <col min="59" max="59" width="9.125" style="2"/>
    <col min="60" max="60" width="5.625" style="2" customWidth="1"/>
    <col min="61" max="16384" width="9.125" style="2"/>
  </cols>
  <sheetData>
    <row r="1" spans="1:65" x14ac:dyDescent="0.25">
      <c r="A1" s="1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/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/>
      <c r="AE1" s="3" t="s">
        <v>3</v>
      </c>
      <c r="AF1" s="3" t="s">
        <v>3</v>
      </c>
      <c r="AG1" s="3" t="s">
        <v>3</v>
      </c>
      <c r="AH1" s="3" t="s">
        <v>3</v>
      </c>
      <c r="AI1" s="3" t="s">
        <v>3</v>
      </c>
      <c r="AJ1" s="3" t="s">
        <v>3</v>
      </c>
      <c r="AK1" s="3" t="s">
        <v>3</v>
      </c>
      <c r="AL1" s="3" t="s">
        <v>3</v>
      </c>
      <c r="AM1" s="3" t="s">
        <v>3</v>
      </c>
      <c r="AN1" s="3" t="s">
        <v>3</v>
      </c>
      <c r="AO1" s="3" t="s">
        <v>3</v>
      </c>
      <c r="AP1" s="3" t="s">
        <v>3</v>
      </c>
      <c r="AQ1" s="3" t="s">
        <v>3</v>
      </c>
      <c r="AR1" s="3"/>
      <c r="AS1" s="3"/>
      <c r="AT1" s="3" t="s">
        <v>4</v>
      </c>
      <c r="AU1" s="3" t="s">
        <v>4</v>
      </c>
      <c r="AV1" s="3" t="s">
        <v>4</v>
      </c>
      <c r="AW1" s="3" t="s">
        <v>4</v>
      </c>
      <c r="AX1" s="3" t="s">
        <v>4</v>
      </c>
      <c r="AY1" s="3" t="s">
        <v>4</v>
      </c>
      <c r="AZ1" s="3" t="s">
        <v>4</v>
      </c>
      <c r="BA1" s="3" t="s">
        <v>4</v>
      </c>
      <c r="BB1" s="3" t="s">
        <v>4</v>
      </c>
      <c r="BC1" s="3" t="s">
        <v>4</v>
      </c>
      <c r="BD1" s="3" t="s">
        <v>4</v>
      </c>
      <c r="BE1" s="3" t="s">
        <v>4</v>
      </c>
      <c r="BF1" s="3" t="s">
        <v>4</v>
      </c>
    </row>
    <row r="2" spans="1:65" s="6" customFormat="1" x14ac:dyDescent="0.25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12</v>
      </c>
      <c r="W2" s="6" t="s">
        <v>13</v>
      </c>
      <c r="X2" s="6" t="s">
        <v>14</v>
      </c>
      <c r="Y2" s="6" t="s">
        <v>15</v>
      </c>
      <c r="Z2" s="6" t="s">
        <v>16</v>
      </c>
      <c r="AA2" s="6" t="s">
        <v>17</v>
      </c>
      <c r="AB2" s="6" t="s">
        <v>18</v>
      </c>
      <c r="AC2" s="6" t="s">
        <v>19</v>
      </c>
      <c r="AE2" s="6" t="s">
        <v>7</v>
      </c>
      <c r="AF2" s="6" t="s">
        <v>8</v>
      </c>
      <c r="AG2" s="6" t="s">
        <v>9</v>
      </c>
      <c r="AH2" s="6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6" t="s">
        <v>17</v>
      </c>
      <c r="AP2" s="6" t="s">
        <v>18</v>
      </c>
      <c r="AQ2" s="6" t="s">
        <v>19</v>
      </c>
      <c r="AT2" s="6" t="s">
        <v>7</v>
      </c>
      <c r="AU2" s="6" t="s">
        <v>8</v>
      </c>
      <c r="AV2" s="6" t="s">
        <v>9</v>
      </c>
      <c r="AW2" s="6" t="s">
        <v>10</v>
      </c>
      <c r="AX2" s="6" t="s">
        <v>11</v>
      </c>
      <c r="AY2" s="6" t="s">
        <v>12</v>
      </c>
      <c r="AZ2" s="6" t="s">
        <v>13</v>
      </c>
      <c r="BA2" s="6" t="s">
        <v>14</v>
      </c>
      <c r="BB2" s="6" t="s">
        <v>15</v>
      </c>
      <c r="BC2" s="6" t="s">
        <v>16</v>
      </c>
      <c r="BD2" s="6" t="s">
        <v>17</v>
      </c>
      <c r="BE2" s="6" t="s">
        <v>18</v>
      </c>
      <c r="BF2" s="6" t="s">
        <v>19</v>
      </c>
      <c r="BH2" s="5"/>
    </row>
    <row r="3" spans="1:65" x14ac:dyDescent="0.25">
      <c r="A3" s="7" t="s">
        <v>20</v>
      </c>
      <c r="B3" s="8" t="s">
        <v>21</v>
      </c>
      <c r="C3" s="9">
        <v>3452.4005670000001</v>
      </c>
      <c r="D3" s="9">
        <v>3480.1710549999998</v>
      </c>
      <c r="E3" s="9">
        <v>3725.2993719999999</v>
      </c>
      <c r="F3" s="9">
        <v>3722.1299920000001</v>
      </c>
      <c r="G3" s="9">
        <v>3892.5255010000001</v>
      </c>
      <c r="H3" s="9">
        <v>4208.4364070000001</v>
      </c>
      <c r="I3" s="9">
        <v>4548.4707280000002</v>
      </c>
      <c r="J3" s="9">
        <v>4657.1673309999996</v>
      </c>
      <c r="K3" s="9">
        <v>5643.8763829999998</v>
      </c>
      <c r="L3" s="9">
        <v>7182.5683550000003</v>
      </c>
      <c r="M3" s="9">
        <v>7032.0939319999998</v>
      </c>
      <c r="N3" s="9">
        <v>7267.1289260000003</v>
      </c>
      <c r="O3" s="9">
        <v>7495.1795410000004</v>
      </c>
      <c r="P3" s="9"/>
      <c r="Q3" s="9">
        <v>43.989986000000002</v>
      </c>
      <c r="R3" s="9">
        <v>65.258757000000003</v>
      </c>
      <c r="S3" s="9">
        <v>170.85135199999999</v>
      </c>
      <c r="T3" s="9">
        <v>56.831933999999997</v>
      </c>
      <c r="U3" s="9">
        <v>75.499763999999999</v>
      </c>
      <c r="V3" s="9">
        <v>96.063758000000007</v>
      </c>
      <c r="W3" s="9">
        <v>95.856519000000006</v>
      </c>
      <c r="X3" s="9">
        <v>96.428942000000006</v>
      </c>
      <c r="Y3" s="9">
        <v>98.708994000000004</v>
      </c>
      <c r="Z3" s="9">
        <v>98.997911000000002</v>
      </c>
      <c r="AA3" s="9">
        <v>103.45025800000001</v>
      </c>
      <c r="AB3" s="9">
        <v>103.545858</v>
      </c>
      <c r="AC3" s="9">
        <v>103.32133</v>
      </c>
      <c r="AD3" s="9"/>
      <c r="AE3" s="9">
        <v>1978.0942950000001</v>
      </c>
      <c r="AF3" s="9">
        <v>2020.542751</v>
      </c>
      <c r="AG3" s="9">
        <v>2108.070244</v>
      </c>
      <c r="AH3" s="9">
        <v>2230.18318</v>
      </c>
      <c r="AI3" s="9">
        <v>2287.6946619999999</v>
      </c>
      <c r="AJ3" s="9">
        <v>2419.314781</v>
      </c>
      <c r="AK3" s="9">
        <f>2013.911327+150.44723+11.251939+23.292598+111.941527+205.423028+4.118373+33.755908</f>
        <v>2554.1419300000002</v>
      </c>
      <c r="AL3" s="9">
        <v>2682.0884639999999</v>
      </c>
      <c r="AM3" s="9">
        <v>3012.63103</v>
      </c>
      <c r="AN3" s="9">
        <v>3269.6576140000002</v>
      </c>
      <c r="AO3" s="9">
        <v>3446.0095670000001</v>
      </c>
      <c r="AP3" s="9">
        <v>3422.3503139999998</v>
      </c>
      <c r="AQ3" s="9">
        <v>3519.3318629999999</v>
      </c>
      <c r="AR3" s="9"/>
      <c r="AS3" s="9"/>
      <c r="AT3" s="9">
        <v>7390.2268409999997</v>
      </c>
      <c r="AU3" s="9">
        <v>7474.892347</v>
      </c>
      <c r="AV3" s="9">
        <v>7929.1672939999999</v>
      </c>
      <c r="AW3" s="9">
        <v>7893.8604539999997</v>
      </c>
      <c r="AX3" s="9">
        <v>8202.6534749999992</v>
      </c>
      <c r="AY3" s="9">
        <v>8693.3721449999994</v>
      </c>
      <c r="AZ3" s="9">
        <f>(2108210346+7214724451)/1000000</f>
        <v>9322.9347969999999</v>
      </c>
      <c r="BA3" s="9">
        <v>9634.9795620000004</v>
      </c>
      <c r="BB3" s="9">
        <v>11153.860664</v>
      </c>
      <c r="BC3" s="10">
        <v>13134.348177</v>
      </c>
      <c r="BD3" s="10">
        <v>13621.779372000001</v>
      </c>
      <c r="BE3" s="10">
        <v>14050.105444999999</v>
      </c>
      <c r="BF3" s="10">
        <v>14470.872982000001</v>
      </c>
      <c r="BH3" s="8"/>
      <c r="BI3" s="11"/>
      <c r="BM3" s="11"/>
    </row>
    <row r="4" spans="1:65" x14ac:dyDescent="0.25">
      <c r="A4" s="12" t="s">
        <v>22</v>
      </c>
      <c r="B4" s="8" t="s">
        <v>23</v>
      </c>
      <c r="C4" s="9" t="s">
        <v>24</v>
      </c>
      <c r="D4" s="9" t="s">
        <v>24</v>
      </c>
      <c r="E4" s="9" t="s">
        <v>24</v>
      </c>
      <c r="F4" s="9" t="s">
        <v>24</v>
      </c>
      <c r="G4" s="9" t="s">
        <v>24</v>
      </c>
      <c r="H4" s="9" t="s">
        <v>24</v>
      </c>
      <c r="I4" s="9" t="s">
        <v>24</v>
      </c>
      <c r="J4" s="9" t="s">
        <v>24</v>
      </c>
      <c r="K4" s="9" t="s">
        <v>24</v>
      </c>
      <c r="L4" s="9" t="s">
        <v>24</v>
      </c>
      <c r="M4" s="9" t="s">
        <v>24</v>
      </c>
      <c r="N4" s="9" t="s">
        <v>24</v>
      </c>
      <c r="O4" s="9" t="s">
        <v>24</v>
      </c>
      <c r="P4" s="9"/>
      <c r="Q4" s="9">
        <v>112.48613400000001</v>
      </c>
      <c r="R4" s="9">
        <v>99.869191000000001</v>
      </c>
      <c r="S4" s="9">
        <v>136.22324900000001</v>
      </c>
      <c r="T4" s="9">
        <v>90.243942000000004</v>
      </c>
      <c r="U4" s="9">
        <v>86.547228000000004</v>
      </c>
      <c r="V4" s="9">
        <v>119.556313</v>
      </c>
      <c r="W4" s="9">
        <v>114.832684</v>
      </c>
      <c r="X4" s="9">
        <v>102.4</v>
      </c>
      <c r="Y4" s="9">
        <v>102.8</v>
      </c>
      <c r="Z4" s="9">
        <v>112.2</v>
      </c>
      <c r="AA4" s="9">
        <v>124.4</v>
      </c>
      <c r="AB4" s="9">
        <v>177.2</v>
      </c>
      <c r="AC4" s="9">
        <v>228.7</v>
      </c>
      <c r="AD4" s="9"/>
      <c r="AE4" s="9" t="s">
        <v>24</v>
      </c>
      <c r="AF4" s="9" t="s">
        <v>24</v>
      </c>
      <c r="AG4" s="9" t="s">
        <v>24</v>
      </c>
      <c r="AH4" s="9" t="s">
        <v>24</v>
      </c>
      <c r="AI4" s="9" t="s">
        <v>24</v>
      </c>
      <c r="AJ4" s="9" t="s">
        <v>24</v>
      </c>
      <c r="AK4" s="9" t="s">
        <v>24</v>
      </c>
      <c r="AL4" s="9" t="s">
        <v>24</v>
      </c>
      <c r="AM4" s="9" t="s">
        <v>24</v>
      </c>
      <c r="AN4" s="9" t="s">
        <v>24</v>
      </c>
      <c r="AO4" s="9" t="s">
        <v>24</v>
      </c>
      <c r="AP4" s="9" t="s">
        <v>24</v>
      </c>
      <c r="AQ4" s="9" t="s">
        <v>24</v>
      </c>
      <c r="AR4" s="9"/>
      <c r="AS4" s="9"/>
      <c r="AT4" s="9">
        <f>15812.3-2386.8</f>
        <v>13425.5</v>
      </c>
      <c r="AU4" s="9">
        <f>17243.7-2518.7</f>
        <v>14725</v>
      </c>
      <c r="AV4" s="9">
        <f>8534.3-2518.7</f>
        <v>6015.5999999999995</v>
      </c>
      <c r="AW4" s="9">
        <f>5894.1-2641.9</f>
        <v>3252.2000000000003</v>
      </c>
      <c r="AX4" s="9">
        <f>12904.9-3199.6</f>
        <v>9705.2999999999993</v>
      </c>
      <c r="AY4" s="9">
        <f>12359.9-3148.3</f>
        <v>9211.5999999999985</v>
      </c>
      <c r="AZ4" s="9">
        <f>11179.4-3446.8</f>
        <v>7732.5999999999995</v>
      </c>
      <c r="BA4" s="9">
        <f>8673.7-4189.4</f>
        <v>4484.3000000000011</v>
      </c>
      <c r="BB4" s="9">
        <f>29764.6-7570.8</f>
        <v>22193.8</v>
      </c>
      <c r="BC4" s="9">
        <f>8660.6-6911.8</f>
        <v>1748.8000000000002</v>
      </c>
      <c r="BD4" s="9">
        <f>15484.1-5826.8</f>
        <v>9657.2999999999993</v>
      </c>
      <c r="BE4" s="9">
        <f>16298-6097.1</f>
        <v>10200.9</v>
      </c>
      <c r="BF4" s="13">
        <f>19153.2-6940.1</f>
        <v>12213.1</v>
      </c>
      <c r="BG4" s="1" t="s">
        <v>25</v>
      </c>
      <c r="BH4" s="8"/>
      <c r="BI4" s="11"/>
      <c r="BM4" s="11"/>
    </row>
    <row r="5" spans="1:65" ht="12.75" customHeight="1" x14ac:dyDescent="0.25">
      <c r="A5" s="14" t="s">
        <v>26</v>
      </c>
      <c r="B5" s="8" t="s">
        <v>27</v>
      </c>
      <c r="C5" s="9">
        <v>3397.5451330000001</v>
      </c>
      <c r="D5" s="9">
        <v>3462.3819960000001</v>
      </c>
      <c r="E5" s="9">
        <v>3761.3440000000001</v>
      </c>
      <c r="F5" s="9">
        <v>3956.9216999999999</v>
      </c>
      <c r="G5" s="9">
        <v>4130.898725</v>
      </c>
      <c r="H5" s="9">
        <v>4543.998407</v>
      </c>
      <c r="I5" s="9">
        <v>5009.0216</v>
      </c>
      <c r="J5" s="9">
        <v>4530.4102080000002</v>
      </c>
      <c r="K5" s="9">
        <v>6532.7029000000002</v>
      </c>
      <c r="L5" s="9">
        <v>7530.0106999999998</v>
      </c>
      <c r="M5" s="9">
        <v>5239.5528999999997</v>
      </c>
      <c r="N5" s="9">
        <v>4845.7665440000001</v>
      </c>
      <c r="O5" s="9">
        <v>5482.9503999999997</v>
      </c>
      <c r="P5" s="9"/>
      <c r="Q5" s="9">
        <v>662.02639799999997</v>
      </c>
      <c r="R5" s="9">
        <v>575.18022099999996</v>
      </c>
      <c r="S5" s="9">
        <v>663.00301000000002</v>
      </c>
      <c r="T5" s="9">
        <v>549.62630000000001</v>
      </c>
      <c r="U5" s="9">
        <v>368.13644599999998</v>
      </c>
      <c r="V5" s="9">
        <v>373.07209999999998</v>
      </c>
      <c r="W5" s="9">
        <v>514.26409999999998</v>
      </c>
      <c r="X5" s="9">
        <v>511.88185099999998</v>
      </c>
      <c r="Y5" s="9">
        <v>847.02080000000001</v>
      </c>
      <c r="Z5" s="9">
        <v>1163.4689000000001</v>
      </c>
      <c r="AA5" s="9">
        <v>1806.3114</v>
      </c>
      <c r="AB5" s="9">
        <v>1744.8216749999999</v>
      </c>
      <c r="AC5" s="9">
        <v>1750.5472</v>
      </c>
      <c r="AD5" s="9"/>
      <c r="AE5" s="9">
        <v>3842.3712999999998</v>
      </c>
      <c r="AF5" s="9">
        <v>3985.88</v>
      </c>
      <c r="AG5" s="9">
        <v>4190.5330000000004</v>
      </c>
      <c r="AH5" s="9">
        <v>4299.1539000000002</v>
      </c>
      <c r="AI5" s="9">
        <v>4505.9147999999996</v>
      </c>
      <c r="AJ5" s="9">
        <v>4787.4624999999996</v>
      </c>
      <c r="AK5" s="9">
        <v>5096.7502999999997</v>
      </c>
      <c r="AL5" s="9">
        <v>5391.9129999999996</v>
      </c>
      <c r="AM5" s="9">
        <v>6244.5834999999997</v>
      </c>
      <c r="AN5" s="9">
        <v>7208.8535000000002</v>
      </c>
      <c r="AO5" s="9">
        <v>7677.7893000000004</v>
      </c>
      <c r="AP5" s="9">
        <v>7933.9142000000002</v>
      </c>
      <c r="AQ5" s="9">
        <v>8151.8500999999997</v>
      </c>
      <c r="AR5" s="9"/>
      <c r="AS5" s="9"/>
      <c r="AT5" s="9">
        <v>8369.7385999999988</v>
      </c>
      <c r="AU5" s="9">
        <v>8525.4</v>
      </c>
      <c r="AV5" s="9">
        <v>9168.7129999999997</v>
      </c>
      <c r="AW5" s="9">
        <v>9401.7659999999996</v>
      </c>
      <c r="AX5" s="9">
        <v>9601.8679000000011</v>
      </c>
      <c r="AY5" s="9">
        <v>10321.501</v>
      </c>
      <c r="AZ5" s="9">
        <v>11271.3194</v>
      </c>
      <c r="BA5" s="9">
        <v>11065.3843</v>
      </c>
      <c r="BB5" s="9">
        <v>14345.7487</v>
      </c>
      <c r="BC5" s="9">
        <v>16717.737799999999</v>
      </c>
      <c r="BD5" s="9">
        <v>15589.6242</v>
      </c>
      <c r="BE5" s="9">
        <v>15452.588900000001</v>
      </c>
      <c r="BF5" s="9">
        <v>16428.0946</v>
      </c>
      <c r="BG5" s="1"/>
      <c r="BH5" s="8"/>
      <c r="BI5" s="11"/>
      <c r="BM5" s="11"/>
    </row>
    <row r="6" spans="1:65" x14ac:dyDescent="0.25">
      <c r="A6" s="14" t="s">
        <v>28</v>
      </c>
      <c r="B6" s="8" t="s">
        <v>29</v>
      </c>
      <c r="C6" s="9">
        <v>2649.6</v>
      </c>
      <c r="D6" s="9">
        <v>2602.1999999999998</v>
      </c>
      <c r="E6" s="9">
        <v>2664.2</v>
      </c>
      <c r="F6" s="9">
        <v>2781.5</v>
      </c>
      <c r="G6" s="9">
        <v>2767.8</v>
      </c>
      <c r="H6" s="9">
        <f>3359.6-493.4</f>
        <v>2866.2</v>
      </c>
      <c r="I6" s="9">
        <f>3520-507.5</f>
        <v>3012.5</v>
      </c>
      <c r="J6" s="9">
        <f>3418.6-503.6</f>
        <v>2915</v>
      </c>
      <c r="K6" s="9">
        <f>3969.2-502.1</f>
        <v>3467.1</v>
      </c>
      <c r="L6" s="9">
        <f>4171.5-453.6</f>
        <v>3717.9</v>
      </c>
      <c r="M6" s="9">
        <f>3915.9-768.1</f>
        <v>3147.8</v>
      </c>
      <c r="N6" s="9">
        <f>3849.6-782.9</f>
        <v>3066.7</v>
      </c>
      <c r="O6" s="9">
        <f>3594.3-655</f>
        <v>2939.3</v>
      </c>
      <c r="P6" s="9"/>
      <c r="Q6" s="9">
        <v>375.5</v>
      </c>
      <c r="R6" s="9">
        <v>371.2</v>
      </c>
      <c r="S6" s="9">
        <v>449.5</v>
      </c>
      <c r="T6" s="9">
        <v>417.79999999999995</v>
      </c>
      <c r="U6" s="9">
        <v>366.5</v>
      </c>
      <c r="V6" s="9">
        <f>406.7-42.8</f>
        <v>363.9</v>
      </c>
      <c r="W6" s="9">
        <f>570.2-62.7</f>
        <v>507.50000000000006</v>
      </c>
      <c r="X6" s="9">
        <f>482.1-49.3</f>
        <v>432.8</v>
      </c>
      <c r="Y6" s="9">
        <f>651.9-65.3</f>
        <v>586.6</v>
      </c>
      <c r="Z6" s="9">
        <f>837.2-52.4</f>
        <v>784.80000000000007</v>
      </c>
      <c r="AA6" s="9">
        <f>842.5-60.4</f>
        <v>782.1</v>
      </c>
      <c r="AB6" s="9">
        <f>744.8-136.1</f>
        <v>608.69999999999993</v>
      </c>
      <c r="AC6" s="9">
        <f>533.1-137.3</f>
        <v>395.8</v>
      </c>
      <c r="AD6" s="9"/>
      <c r="AE6" s="9">
        <v>2124.5</v>
      </c>
      <c r="AF6" s="9">
        <v>2173.1</v>
      </c>
      <c r="AG6" s="9">
        <v>2197.8000000000002</v>
      </c>
      <c r="AH6" s="9">
        <v>2290</v>
      </c>
      <c r="AI6" s="9">
        <v>2337.9</v>
      </c>
      <c r="AJ6" s="9">
        <v>2417.5</v>
      </c>
      <c r="AK6" s="9">
        <v>2465</v>
      </c>
      <c r="AL6" s="9">
        <v>2543.6999999999998</v>
      </c>
      <c r="AM6" s="9">
        <v>2883.8</v>
      </c>
      <c r="AN6" s="9">
        <v>3154.7</v>
      </c>
      <c r="AO6" s="9">
        <v>3418.4</v>
      </c>
      <c r="AP6" s="9">
        <v>3480.4</v>
      </c>
      <c r="AQ6" s="9">
        <v>3527.9</v>
      </c>
      <c r="AR6" s="9"/>
      <c r="AS6" s="9"/>
      <c r="AT6" s="9">
        <v>5026.9906110000002</v>
      </c>
      <c r="AU6" s="9">
        <v>5022.4450809999998</v>
      </c>
      <c r="AV6" s="9">
        <v>5250.5339819999999</v>
      </c>
      <c r="AW6" s="9">
        <v>5367.8129989999998</v>
      </c>
      <c r="AX6" s="9">
        <v>5348.7641700000004</v>
      </c>
      <c r="AY6" s="9">
        <v>5494.9186829999999</v>
      </c>
      <c r="AZ6" s="9">
        <v>5921.4386350000004</v>
      </c>
      <c r="BA6" s="9">
        <v>5753.3867540000001</v>
      </c>
      <c r="BB6" s="9">
        <v>6845.3</v>
      </c>
      <c r="BC6" s="9">
        <v>7477.4</v>
      </c>
      <c r="BD6" s="9">
        <v>7185.4</v>
      </c>
      <c r="BE6" s="9">
        <v>6900.5</v>
      </c>
      <c r="BF6" s="9">
        <v>6679.4</v>
      </c>
      <c r="BG6" s="15"/>
      <c r="BH6" s="8"/>
      <c r="BI6" s="11"/>
      <c r="BM6" s="11"/>
    </row>
    <row r="7" spans="1:65" x14ac:dyDescent="0.25">
      <c r="A7" s="14" t="s">
        <v>30</v>
      </c>
      <c r="B7" s="8" t="s">
        <v>31</v>
      </c>
      <c r="C7" s="9">
        <v>64484</v>
      </c>
      <c r="D7" s="9">
        <v>67025</v>
      </c>
      <c r="E7" s="9">
        <v>76169</v>
      </c>
      <c r="F7" s="9">
        <v>78735</v>
      </c>
      <c r="G7" s="9">
        <v>83264</v>
      </c>
      <c r="H7" s="9">
        <v>93776</v>
      </c>
      <c r="I7" s="9">
        <v>99189</v>
      </c>
      <c r="J7" s="9">
        <v>99599</v>
      </c>
      <c r="K7" s="9">
        <v>128856</v>
      </c>
      <c r="L7" s="9">
        <v>137144</v>
      </c>
      <c r="M7" s="9">
        <v>101748.819</v>
      </c>
      <c r="N7" s="9">
        <v>115166</v>
      </c>
      <c r="O7" s="9">
        <v>130178</v>
      </c>
      <c r="P7" s="9"/>
      <c r="Q7" s="9">
        <v>7783</v>
      </c>
      <c r="R7" s="9">
        <v>9093</v>
      </c>
      <c r="S7" s="9">
        <v>9417</v>
      </c>
      <c r="T7" s="9">
        <v>10460</v>
      </c>
      <c r="U7" s="9">
        <v>11020</v>
      </c>
      <c r="V7" s="9">
        <v>12313</v>
      </c>
      <c r="W7" s="9">
        <v>14075</v>
      </c>
      <c r="X7" s="9">
        <v>13954</v>
      </c>
      <c r="Y7" s="9">
        <v>22591</v>
      </c>
      <c r="Z7" s="9">
        <v>45128</v>
      </c>
      <c r="AA7" s="9">
        <v>36337</v>
      </c>
      <c r="AB7" s="9">
        <v>35456</v>
      </c>
      <c r="AC7" s="9">
        <v>41338</v>
      </c>
      <c r="AD7" s="9"/>
      <c r="AE7" s="9">
        <v>20482</v>
      </c>
      <c r="AF7" s="9">
        <v>22263</v>
      </c>
      <c r="AG7" s="9">
        <v>23682</v>
      </c>
      <c r="AH7" s="9">
        <v>24871</v>
      </c>
      <c r="AI7" s="9">
        <v>24874</v>
      </c>
      <c r="AJ7" s="9">
        <v>24974</v>
      </c>
      <c r="AK7" s="9">
        <v>26150</v>
      </c>
      <c r="AL7" s="9">
        <v>25509</v>
      </c>
      <c r="AM7" s="9">
        <v>29073</v>
      </c>
      <c r="AN7" s="9">
        <v>33026</v>
      </c>
      <c r="AO7" s="9">
        <v>33324</v>
      </c>
      <c r="AP7" s="9">
        <v>33339</v>
      </c>
      <c r="AQ7" s="9">
        <v>33602</v>
      </c>
      <c r="AR7" s="9"/>
      <c r="AS7" s="9"/>
      <c r="AT7" s="9">
        <v>99402</v>
      </c>
      <c r="AU7" s="9">
        <v>102998</v>
      </c>
      <c r="AV7" s="9">
        <v>113769</v>
      </c>
      <c r="AW7" s="9">
        <v>118864</v>
      </c>
      <c r="AX7" s="9">
        <v>123422</v>
      </c>
      <c r="AY7" s="9">
        <v>135494</v>
      </c>
      <c r="AZ7" s="9">
        <v>144471</v>
      </c>
      <c r="BA7" s="9">
        <v>145082</v>
      </c>
      <c r="BB7" s="9">
        <v>186810</v>
      </c>
      <c r="BC7" s="9">
        <v>223503</v>
      </c>
      <c r="BD7" s="9">
        <v>179214</v>
      </c>
      <c r="BE7" s="9">
        <v>195261</v>
      </c>
      <c r="BF7" s="13">
        <v>218506</v>
      </c>
      <c r="BG7" s="1" t="s">
        <v>25</v>
      </c>
      <c r="BH7" s="8"/>
      <c r="BI7" s="11"/>
      <c r="BM7" s="11"/>
    </row>
    <row r="8" spans="1:65" x14ac:dyDescent="0.25">
      <c r="A8" s="16" t="s">
        <v>32</v>
      </c>
      <c r="B8" s="8" t="s">
        <v>33</v>
      </c>
      <c r="C8" s="9">
        <v>5596.3</v>
      </c>
      <c r="D8" s="9">
        <v>5696.1</v>
      </c>
      <c r="E8" s="9">
        <v>6350.1</v>
      </c>
      <c r="F8" s="9">
        <v>6526.5</v>
      </c>
      <c r="G8" s="9">
        <v>6760.9</v>
      </c>
      <c r="H8" s="9">
        <v>7577.2</v>
      </c>
      <c r="I8" s="9">
        <v>8247</v>
      </c>
      <c r="J8" s="9">
        <v>8644.9</v>
      </c>
      <c r="K8" s="9">
        <v>9478.1</v>
      </c>
      <c r="L8" s="9">
        <v>11717.8</v>
      </c>
      <c r="M8" s="9">
        <v>10952.7</v>
      </c>
      <c r="N8" s="9">
        <v>10044.200000000001</v>
      </c>
      <c r="O8" s="9">
        <v>9997.9</v>
      </c>
      <c r="P8" s="9"/>
      <c r="Q8" s="9">
        <v>636.29999999999995</v>
      </c>
      <c r="R8" s="9">
        <v>720.7</v>
      </c>
      <c r="S8" s="9">
        <v>692.9</v>
      </c>
      <c r="T8" s="9">
        <v>652.29999999999995</v>
      </c>
      <c r="U8" s="9">
        <v>509.3</v>
      </c>
      <c r="V8" s="9">
        <v>781.9</v>
      </c>
      <c r="W8" s="9">
        <v>919.8</v>
      </c>
      <c r="X8" s="9">
        <v>728.3</v>
      </c>
      <c r="Y8" s="9">
        <v>1183.7</v>
      </c>
      <c r="Z8" s="9">
        <v>1568.6</v>
      </c>
      <c r="AA8" s="9">
        <v>2366.6999999999998</v>
      </c>
      <c r="AB8" s="9">
        <v>2796.6</v>
      </c>
      <c r="AC8" s="9">
        <v>2619.5</v>
      </c>
      <c r="AD8" s="9"/>
      <c r="AE8" s="9">
        <f>2211.7+242.7</f>
        <v>2454.3999999999996</v>
      </c>
      <c r="AF8" s="9">
        <f>2424.6+241.5</f>
        <v>2666.1</v>
      </c>
      <c r="AG8" s="9">
        <f>2619.2+260.3</f>
        <v>2879.5</v>
      </c>
      <c r="AH8" s="9">
        <f>2652.6+241.2</f>
        <v>2893.7999999999997</v>
      </c>
      <c r="AI8" s="9">
        <f>2727.7+259.5</f>
        <v>2987.2</v>
      </c>
      <c r="AJ8" s="9">
        <f>2926+309.9</f>
        <v>3235.9</v>
      </c>
      <c r="AK8" s="9">
        <f>3054+345.5</f>
        <v>3399.5</v>
      </c>
      <c r="AL8" s="9">
        <f>3196+210.5</f>
        <v>3406.5</v>
      </c>
      <c r="AM8" s="9">
        <f>3418.1+214.2</f>
        <v>3632.2999999999997</v>
      </c>
      <c r="AN8" s="9">
        <f>4089+232.6</f>
        <v>4321.6000000000004</v>
      </c>
      <c r="AO8" s="9">
        <f>4301.6+251.2</f>
        <v>4552.8</v>
      </c>
      <c r="AP8" s="9">
        <f>4362.6+233.2</f>
        <v>4595.8</v>
      </c>
      <c r="AQ8" s="9">
        <f>4441.1+216.6</f>
        <v>4657.7000000000007</v>
      </c>
      <c r="AR8" s="9"/>
      <c r="AS8" s="9"/>
      <c r="AT8" s="9">
        <v>8554.7999999999993</v>
      </c>
      <c r="AU8" s="9">
        <v>8974.7999999999993</v>
      </c>
      <c r="AV8" s="9">
        <v>9802.6</v>
      </c>
      <c r="AW8" s="9">
        <v>9971.4</v>
      </c>
      <c r="AX8" s="9">
        <v>10275.799999999999</v>
      </c>
      <c r="AY8" s="9">
        <v>11723.9</v>
      </c>
      <c r="AZ8" s="9">
        <v>12564</v>
      </c>
      <c r="BA8" s="9">
        <v>12868</v>
      </c>
      <c r="BB8" s="9">
        <v>14310.1</v>
      </c>
      <c r="BC8" s="9">
        <v>17697.900000000001</v>
      </c>
      <c r="BD8" s="9">
        <v>17998</v>
      </c>
      <c r="BE8" s="9">
        <v>17251.400000000001</v>
      </c>
      <c r="BF8" s="13">
        <v>17181.3</v>
      </c>
      <c r="BG8" s="1" t="s">
        <v>25</v>
      </c>
      <c r="BH8" s="8"/>
      <c r="BI8" s="11"/>
      <c r="BM8" s="11"/>
    </row>
    <row r="9" spans="1:65" x14ac:dyDescent="0.25">
      <c r="A9" s="14" t="s">
        <v>34</v>
      </c>
      <c r="B9" s="8" t="s">
        <v>35</v>
      </c>
      <c r="C9" s="9">
        <v>8719.2000000000007</v>
      </c>
      <c r="D9" s="9">
        <v>8718.7000000000007</v>
      </c>
      <c r="E9" s="9">
        <v>9151</v>
      </c>
      <c r="F9" s="9">
        <v>9181.6</v>
      </c>
      <c r="G9" s="9">
        <v>8988.7000000000007</v>
      </c>
      <c r="H9" s="9">
        <v>10770.1</v>
      </c>
      <c r="I9" s="9">
        <v>9640.1613309999993</v>
      </c>
      <c r="J9" s="9">
        <f>6815.212581+2582.566122</f>
        <v>9397.778703</v>
      </c>
      <c r="K9" s="9">
        <f>7243.803612+3096.633081</f>
        <v>10340.436693</v>
      </c>
      <c r="L9" s="9">
        <f>7886.242302+4245.558091</f>
        <v>12131.800393</v>
      </c>
      <c r="M9" s="9">
        <f>(8317165509+2906224724)/1000000</f>
        <v>11223.390233</v>
      </c>
      <c r="N9" s="9">
        <f>(8666448405+3136598180)/1000000</f>
        <v>11803.046585</v>
      </c>
      <c r="O9" s="9">
        <f>(9152951035+3810979433)/1000000</f>
        <v>12963.930468</v>
      </c>
      <c r="Q9" s="9">
        <v>742.5</v>
      </c>
      <c r="R9" s="9">
        <v>782.2</v>
      </c>
      <c r="S9" s="9">
        <v>814.8</v>
      </c>
      <c r="T9" s="9">
        <v>880.4</v>
      </c>
      <c r="U9" s="9">
        <v>1037.5999999999999</v>
      </c>
      <c r="V9" s="9">
        <v>920.7</v>
      </c>
      <c r="W9" s="9">
        <v>2232.9884320000001</v>
      </c>
      <c r="X9" s="9">
        <v>2176.4480039999999</v>
      </c>
      <c r="Y9" s="9">
        <f>1153.079316+1549.716152</f>
        <v>2702.7954680000003</v>
      </c>
      <c r="Z9" s="9">
        <f>1401.152532+2307.593662</f>
        <v>3708.7461940000003</v>
      </c>
      <c r="AA9" s="9">
        <f>(1516587806+2048068395)/1000000</f>
        <v>3564.6562009999998</v>
      </c>
      <c r="AB9" s="9">
        <f>(1555553020+1964651650)/1000000</f>
        <v>3520.2046700000001</v>
      </c>
      <c r="AC9" s="9">
        <f>(1402568919+2367029366)/1000000</f>
        <v>3769.598285</v>
      </c>
      <c r="AE9" s="9">
        <v>3897</v>
      </c>
      <c r="AF9" s="9">
        <v>4100.6000000000004</v>
      </c>
      <c r="AG9" s="9">
        <v>4205.1000000000004</v>
      </c>
      <c r="AH9" s="9">
        <v>4290.8999999999996</v>
      </c>
      <c r="AI9" s="9">
        <v>4380.5999999999995</v>
      </c>
      <c r="AJ9" s="9">
        <v>4529.7</v>
      </c>
      <c r="AK9" s="9">
        <v>4708.7000000000007</v>
      </c>
      <c r="AL9" s="9">
        <f>4317.730196+400.90817</f>
        <v>4718.6383660000001</v>
      </c>
      <c r="AM9" s="9">
        <f>4792.674985+482.892296</f>
        <v>5275.5672809999996</v>
      </c>
      <c r="AN9" s="9">
        <f>4818.082809+703.39131</f>
        <v>5521.4741190000004</v>
      </c>
      <c r="AO9" s="9">
        <f>(4944771608+837629589)/1000000</f>
        <v>5782.4011970000001</v>
      </c>
      <c r="AP9" s="9">
        <f>(5003036029+844374157)/1000000</f>
        <v>5847.4101860000001</v>
      </c>
      <c r="AQ9" s="9">
        <f>(5120521097+877806576)/1000000</f>
        <v>5998.3276729999998</v>
      </c>
      <c r="AR9" s="9"/>
      <c r="AS9" s="9"/>
      <c r="AT9" s="9">
        <f>19405+1232.5-3733.9</f>
        <v>16903.599999999999</v>
      </c>
      <c r="AU9" s="9">
        <f>17009.6+1255.7-1243.9</f>
        <v>17021.399999999998</v>
      </c>
      <c r="AV9" s="9">
        <f>17282+1360.9-1241.2</f>
        <v>17401.7</v>
      </c>
      <c r="AW9" s="9">
        <f>17780.8+1352.8-1301.5</f>
        <v>17832.099999999999</v>
      </c>
      <c r="AX9" s="9">
        <f>17703+1394.4-1325.2</f>
        <v>17772.2</v>
      </c>
      <c r="AY9" s="9">
        <f>18198.6+1630.1-1143.1</f>
        <v>18685.599999999999</v>
      </c>
      <c r="AZ9" s="9">
        <f>19649.8+1688.2-2083.8</f>
        <v>19254.2</v>
      </c>
      <c r="BA9" s="9">
        <f>19193.5404229999-1796.754438+1516.585006</f>
        <v>18913.370990999902</v>
      </c>
      <c r="BB9" s="9">
        <f>20531.418459-1496.315207+1777.716829</f>
        <v>20812.820081000002</v>
      </c>
      <c r="BC9" s="9">
        <f>21990.856849-1934.869284+2000.854493</f>
        <v>22056.842057999998</v>
      </c>
      <c r="BD9" s="9">
        <f>(22822893588-1997837468+2069405191)/1000000</f>
        <v>22894.461310999999</v>
      </c>
      <c r="BE9" s="9">
        <f>(22716129951-2060691770+2410570593)/1000000</f>
        <v>23066.008774000002</v>
      </c>
      <c r="BF9" s="9">
        <f>(23891247168.82-1935141828+2221018915)/1000000</f>
        <v>24177.124255819999</v>
      </c>
      <c r="BH9" s="8"/>
      <c r="BI9" s="11"/>
      <c r="BM9" s="11"/>
    </row>
    <row r="10" spans="1:65" x14ac:dyDescent="0.25">
      <c r="A10" s="14" t="s">
        <v>36</v>
      </c>
      <c r="B10" s="8" t="s">
        <v>37</v>
      </c>
      <c r="C10" s="9">
        <v>1139.8</v>
      </c>
      <c r="D10" s="9">
        <v>1187.7</v>
      </c>
      <c r="E10" s="9">
        <v>1251.9000000000001</v>
      </c>
      <c r="F10" s="9">
        <v>1286.5999999999999</v>
      </c>
      <c r="G10" s="9">
        <v>1333.2</v>
      </c>
      <c r="H10" s="9">
        <v>1428.1955210000001</v>
      </c>
      <c r="I10" s="9">
        <v>1527.5064709999999</v>
      </c>
      <c r="J10" s="9">
        <v>1472.1498939999999</v>
      </c>
      <c r="K10" s="9">
        <v>1888.4</v>
      </c>
      <c r="L10" s="9">
        <v>1909.4</v>
      </c>
      <c r="M10" s="9">
        <v>2112.9</v>
      </c>
      <c r="N10" s="9">
        <v>2216.8943559999998</v>
      </c>
      <c r="O10" s="9">
        <v>2383.1999999999998</v>
      </c>
      <c r="P10" s="9"/>
      <c r="Q10" s="9">
        <v>187.9</v>
      </c>
      <c r="R10" s="9">
        <v>102</v>
      </c>
      <c r="S10" s="9">
        <v>269.5</v>
      </c>
      <c r="T10" s="9">
        <v>143.30000000000001</v>
      </c>
      <c r="U10" s="9">
        <v>120.8</v>
      </c>
      <c r="V10" s="9">
        <v>89.730070999999995</v>
      </c>
      <c r="W10" s="9">
        <v>147.84685400000001</v>
      </c>
      <c r="X10" s="9">
        <v>116.4697</v>
      </c>
      <c r="Y10" s="9">
        <v>209.7</v>
      </c>
      <c r="Z10" s="9">
        <v>314.2</v>
      </c>
      <c r="AA10" s="9">
        <v>383.9</v>
      </c>
      <c r="AB10" s="9">
        <v>344.81503399999997</v>
      </c>
      <c r="AC10" s="9">
        <v>371.4</v>
      </c>
      <c r="AD10" s="9"/>
      <c r="AE10" s="9" t="s">
        <v>24</v>
      </c>
      <c r="AF10" s="9" t="s">
        <v>24</v>
      </c>
      <c r="AG10" s="9" t="s">
        <v>24</v>
      </c>
      <c r="AH10" s="9" t="s">
        <v>24</v>
      </c>
      <c r="AI10" s="9" t="s">
        <v>24</v>
      </c>
      <c r="AJ10" s="9" t="s">
        <v>24</v>
      </c>
      <c r="AK10" s="9" t="s">
        <v>24</v>
      </c>
      <c r="AL10" s="9" t="s">
        <v>24</v>
      </c>
      <c r="AM10" s="9" t="s">
        <v>24</v>
      </c>
      <c r="AN10" s="9" t="s">
        <v>24</v>
      </c>
      <c r="AO10" s="9" t="s">
        <v>24</v>
      </c>
      <c r="AP10" s="9" t="s">
        <v>24</v>
      </c>
      <c r="AQ10" s="9" t="s">
        <v>24</v>
      </c>
      <c r="AR10" s="9"/>
      <c r="AS10" s="9"/>
      <c r="AT10" s="9">
        <v>3729.8</v>
      </c>
      <c r="AU10" s="9">
        <v>3572.7</v>
      </c>
      <c r="AV10" s="9">
        <v>3955.1</v>
      </c>
      <c r="AW10" s="9">
        <v>3944.8</v>
      </c>
      <c r="AX10" s="9">
        <v>4013.0949679999999</v>
      </c>
      <c r="AY10" s="9">
        <v>4392.9768999999997</v>
      </c>
      <c r="AZ10" s="9">
        <v>4591.9213849999996</v>
      </c>
      <c r="BA10" s="9">
        <v>4525.8093879999997</v>
      </c>
      <c r="BB10" s="9">
        <v>5390.3</v>
      </c>
      <c r="BC10" s="9">
        <v>5829.9</v>
      </c>
      <c r="BD10" s="9">
        <v>6295.1</v>
      </c>
      <c r="BE10" s="9">
        <v>6348.9250240000001</v>
      </c>
      <c r="BF10" s="9">
        <v>6694.3</v>
      </c>
      <c r="BH10" s="8"/>
      <c r="BI10" s="11"/>
      <c r="BM10" s="11"/>
    </row>
    <row r="11" spans="1:65" x14ac:dyDescent="0.25">
      <c r="A11" s="7" t="s">
        <v>38</v>
      </c>
      <c r="B11" s="8" t="s">
        <v>39</v>
      </c>
      <c r="C11" s="9" t="s">
        <v>24</v>
      </c>
      <c r="D11" s="9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9" t="s">
        <v>24</v>
      </c>
      <c r="P11" s="9"/>
      <c r="Q11" s="9">
        <v>2081</v>
      </c>
      <c r="R11" s="9">
        <v>2042.5</v>
      </c>
      <c r="S11" s="9">
        <v>2236.3000000000002</v>
      </c>
      <c r="T11" s="9">
        <v>2272.1</v>
      </c>
      <c r="U11" s="9">
        <v>2366.4</v>
      </c>
      <c r="V11" s="9">
        <v>2413</v>
      </c>
      <c r="W11" s="9">
        <v>3139.9</v>
      </c>
      <c r="X11" s="9">
        <v>2473.5</v>
      </c>
      <c r="Y11" s="9">
        <v>3395.6</v>
      </c>
      <c r="Z11" s="9">
        <v>3761.6</v>
      </c>
      <c r="AA11" s="9">
        <v>5517.2</v>
      </c>
      <c r="AB11" s="9">
        <v>6015.8</v>
      </c>
      <c r="AC11" s="9">
        <v>5808.9</v>
      </c>
      <c r="AD11" s="9"/>
      <c r="AE11" s="9">
        <v>18417.599999999999</v>
      </c>
      <c r="AF11" s="9">
        <v>19707.7</v>
      </c>
      <c r="AG11" s="9">
        <v>21062.7</v>
      </c>
      <c r="AH11" s="9">
        <v>21998</v>
      </c>
      <c r="AI11" s="9">
        <v>22987.4</v>
      </c>
      <c r="AJ11" s="9">
        <v>24138.7</v>
      </c>
      <c r="AK11" s="9">
        <v>25385.3</v>
      </c>
      <c r="AL11" s="9">
        <v>24591.3</v>
      </c>
      <c r="AM11" s="9">
        <v>27158.1</v>
      </c>
      <c r="AN11" s="9">
        <v>34039.699999999997</v>
      </c>
      <c r="AO11" s="9">
        <v>35800.199999999997</v>
      </c>
      <c r="AP11" s="9">
        <v>36014</v>
      </c>
      <c r="AQ11" s="9">
        <v>36907</v>
      </c>
      <c r="AR11" s="9"/>
      <c r="AS11" s="9"/>
      <c r="AT11" s="9">
        <v>25314.6</v>
      </c>
      <c r="AU11" s="9">
        <v>26198</v>
      </c>
      <c r="AV11" s="9">
        <v>27681.1</v>
      </c>
      <c r="AW11" s="9">
        <v>28325.4</v>
      </c>
      <c r="AX11" s="9">
        <v>29594.5</v>
      </c>
      <c r="AY11" s="9">
        <v>31218.2</v>
      </c>
      <c r="AZ11" s="9">
        <v>33413.800000000003</v>
      </c>
      <c r="BA11" s="9">
        <v>31366.2</v>
      </c>
      <c r="BB11" s="9">
        <v>36280.9</v>
      </c>
      <c r="BC11" s="9">
        <v>44035.7</v>
      </c>
      <c r="BD11" s="9">
        <v>47327.8</v>
      </c>
      <c r="BE11" s="9">
        <v>48342</v>
      </c>
      <c r="BF11" s="9">
        <v>49676</v>
      </c>
      <c r="BH11" s="8"/>
      <c r="BI11" s="11"/>
      <c r="BM11" s="11"/>
    </row>
    <row r="12" spans="1:65" x14ac:dyDescent="0.25">
      <c r="A12" s="7" t="s">
        <v>40</v>
      </c>
      <c r="B12" s="8" t="s">
        <v>41</v>
      </c>
      <c r="C12" s="9">
        <v>8772.2274039999993</v>
      </c>
      <c r="D12" s="9">
        <v>8965.5724210000008</v>
      </c>
      <c r="E12" s="9">
        <v>9678.5240259999991</v>
      </c>
      <c r="F12" s="9">
        <v>10439.533668</v>
      </c>
      <c r="G12" s="9">
        <v>10977.729901000001</v>
      </c>
      <c r="H12" s="9">
        <v>11643.861634000001</v>
      </c>
      <c r="I12" s="9">
        <v>12176.943411</v>
      </c>
      <c r="J12" s="9">
        <v>12408.176219999999</v>
      </c>
      <c r="K12" s="9">
        <v>14220.906332</v>
      </c>
      <c r="L12" s="9">
        <v>18286.845421999999</v>
      </c>
      <c r="M12" s="9">
        <v>16969.071606000001</v>
      </c>
      <c r="N12" s="9">
        <v>16018.874571</v>
      </c>
      <c r="O12" s="9">
        <v>16234.723833</v>
      </c>
      <c r="P12" s="9"/>
      <c r="Q12" s="9">
        <v>797.25542900000005</v>
      </c>
      <c r="R12" s="9">
        <v>943.80644099999995</v>
      </c>
      <c r="S12" s="9">
        <v>1000.536425</v>
      </c>
      <c r="T12" s="9">
        <v>981.00233600000001</v>
      </c>
      <c r="U12" s="9">
        <v>971.84071300000005</v>
      </c>
      <c r="V12" s="9">
        <v>1004.297542</v>
      </c>
      <c r="W12" s="9">
        <v>1271.2703260000001</v>
      </c>
      <c r="X12" s="9">
        <v>1232.945217</v>
      </c>
      <c r="Y12" s="9">
        <v>1750.7349360000001</v>
      </c>
      <c r="Z12" s="9">
        <v>2509.6830799999998</v>
      </c>
      <c r="AA12" s="9">
        <v>3807.573351</v>
      </c>
      <c r="AB12" s="9">
        <v>3614.9529040000002</v>
      </c>
      <c r="AC12" s="9">
        <v>3256.1081469999999</v>
      </c>
      <c r="AD12" s="9"/>
      <c r="AE12" s="9">
        <v>5277.2111830000003</v>
      </c>
      <c r="AF12" s="9">
        <v>5125.5017850000004</v>
      </c>
      <c r="AG12" s="9">
        <v>5390.3530659999997</v>
      </c>
      <c r="AH12" s="9">
        <v>5480.1961590000001</v>
      </c>
      <c r="AI12" s="9">
        <v>5715.9178300000003</v>
      </c>
      <c r="AJ12" s="9">
        <v>5945.877598</v>
      </c>
      <c r="AK12" s="9">
        <v>6250.3096670000004</v>
      </c>
      <c r="AL12" s="9">
        <v>6174.4507540000004</v>
      </c>
      <c r="AM12" s="9">
        <v>6947.3331269999999</v>
      </c>
      <c r="AN12" s="9">
        <v>8316.9506280000005</v>
      </c>
      <c r="AO12" s="9">
        <v>8918.9444370000001</v>
      </c>
      <c r="AP12" s="9">
        <v>9004.5913440000004</v>
      </c>
      <c r="AQ12" s="9">
        <v>9344.6258400000006</v>
      </c>
      <c r="AR12" s="9"/>
      <c r="AS12" s="9"/>
      <c r="AT12" s="9">
        <v>18295.858588999999</v>
      </c>
      <c r="AU12" s="9">
        <v>19167.806643</v>
      </c>
      <c r="AV12" s="9">
        <v>20434.743032999999</v>
      </c>
      <c r="AW12" s="9">
        <v>22237.392596999998</v>
      </c>
      <c r="AX12" s="9">
        <v>23268.421512000001</v>
      </c>
      <c r="AY12" s="9">
        <v>24319.869276000001</v>
      </c>
      <c r="AZ12" s="9">
        <v>25571.064702</v>
      </c>
      <c r="BA12" s="9">
        <v>25478.916445999999</v>
      </c>
      <c r="BB12" s="9">
        <v>28591.830271999999</v>
      </c>
      <c r="BC12" s="9">
        <v>34934.855313</v>
      </c>
      <c r="BD12" s="9">
        <v>35944.538812999999</v>
      </c>
      <c r="BE12" s="9">
        <v>36441.732255000003</v>
      </c>
      <c r="BF12" s="9">
        <v>37219.732068999998</v>
      </c>
      <c r="BH12" s="8"/>
      <c r="BI12" s="11"/>
      <c r="BM12" s="11"/>
    </row>
    <row r="13" spans="1:65" ht="12.75" customHeight="1" x14ac:dyDescent="0.25">
      <c r="A13" s="7" t="s">
        <v>42</v>
      </c>
      <c r="B13" s="8" t="s">
        <v>43</v>
      </c>
      <c r="C13" s="9">
        <v>1735.499</v>
      </c>
      <c r="D13" s="9">
        <v>1745.3119999999999</v>
      </c>
      <c r="E13" s="9">
        <v>1987.752</v>
      </c>
      <c r="F13" s="9">
        <v>2116.3919999999998</v>
      </c>
      <c r="G13" s="9">
        <v>2192.3409999999999</v>
      </c>
      <c r="H13" s="9">
        <v>2429.8359999999998</v>
      </c>
      <c r="I13" s="9">
        <v>2568.114</v>
      </c>
      <c r="J13" s="9">
        <v>2359.0030000000002</v>
      </c>
      <c r="K13" s="9">
        <v>3354.5610000000001</v>
      </c>
      <c r="L13" s="9">
        <v>3759.7530000000002</v>
      </c>
      <c r="M13" s="9">
        <v>3099.886</v>
      </c>
      <c r="N13" s="9">
        <v>3280.4160000000002</v>
      </c>
      <c r="O13" s="9">
        <v>3288.5410000000002</v>
      </c>
      <c r="P13" s="9"/>
      <c r="Q13" s="9">
        <v>100.988</v>
      </c>
      <c r="R13" s="9">
        <v>87.021000000000001</v>
      </c>
      <c r="S13" s="9">
        <v>52.319000000000003</v>
      </c>
      <c r="T13" s="9">
        <v>93.036000000000001</v>
      </c>
      <c r="U13" s="9">
        <v>173.666</v>
      </c>
      <c r="V13" s="9">
        <v>131.119</v>
      </c>
      <c r="W13" s="9">
        <v>163.67599999999999</v>
      </c>
      <c r="X13" s="9">
        <v>8.407368</v>
      </c>
      <c r="Y13" s="9">
        <v>186.34700000000001</v>
      </c>
      <c r="Z13" s="9">
        <v>255.62100000000001</v>
      </c>
      <c r="AA13" s="9">
        <v>316.83100000000002</v>
      </c>
      <c r="AB13" s="9">
        <v>483.67599999999999</v>
      </c>
      <c r="AC13" s="9">
        <v>400.09699999999998</v>
      </c>
      <c r="AD13" s="9"/>
      <c r="AE13" s="9">
        <v>2944.4870000000001</v>
      </c>
      <c r="AF13" s="9">
        <v>2825.0410000000002</v>
      </c>
      <c r="AG13" s="9">
        <v>2992.7069999999999</v>
      </c>
      <c r="AH13" s="9">
        <v>3206.154</v>
      </c>
      <c r="AI13" s="9">
        <v>3239.2249999999999</v>
      </c>
      <c r="AJ13" s="9">
        <v>3395.5659999999998</v>
      </c>
      <c r="AK13" s="9">
        <v>3541.3890000000001</v>
      </c>
      <c r="AL13" s="9">
        <v>3429.4589999999998</v>
      </c>
      <c r="AM13" s="9">
        <v>3054.3560000000002</v>
      </c>
      <c r="AN13" s="9">
        <v>3978.9929999999999</v>
      </c>
      <c r="AO13" s="9">
        <v>4408.473</v>
      </c>
      <c r="AP13" s="9">
        <v>4446.125</v>
      </c>
      <c r="AQ13" s="9">
        <v>4596.1989999999996</v>
      </c>
      <c r="AR13" s="9"/>
      <c r="AS13" s="9"/>
      <c r="AT13" s="9">
        <v>5466.9229999999998</v>
      </c>
      <c r="AU13" s="9">
        <v>5370.268</v>
      </c>
      <c r="AV13" s="9">
        <v>5735.1409999999996</v>
      </c>
      <c r="AW13" s="9">
        <v>6194.3559999999998</v>
      </c>
      <c r="AX13" s="9">
        <v>6315.2150000000001</v>
      </c>
      <c r="AY13" s="9">
        <v>6796.0360000000001</v>
      </c>
      <c r="AZ13" s="9">
        <v>7141.79</v>
      </c>
      <c r="BA13" s="9">
        <v>6694.808</v>
      </c>
      <c r="BB13" s="9">
        <v>7250.2610000000004</v>
      </c>
      <c r="BC13" s="9">
        <v>9358.848</v>
      </c>
      <c r="BD13" s="9">
        <v>9200.3080000000009</v>
      </c>
      <c r="BE13" s="9">
        <v>9568.3130000000001</v>
      </c>
      <c r="BF13" s="9">
        <v>9974.1610000000001</v>
      </c>
      <c r="BH13" s="8"/>
      <c r="BI13" s="11"/>
      <c r="BM13" s="11"/>
    </row>
    <row r="14" spans="1:65" x14ac:dyDescent="0.25">
      <c r="A14" s="7" t="s">
        <v>44</v>
      </c>
      <c r="B14" s="8" t="s">
        <v>45</v>
      </c>
      <c r="C14" s="9">
        <v>1284.3800000000001</v>
      </c>
      <c r="D14" s="9">
        <v>1329.27</v>
      </c>
      <c r="E14" s="9">
        <v>1470.86</v>
      </c>
      <c r="F14" s="9">
        <v>1513.17</v>
      </c>
      <c r="G14" s="9">
        <v>1651.1956</v>
      </c>
      <c r="H14" s="9">
        <v>1828.2819999999999</v>
      </c>
      <c r="I14" s="9">
        <v>1661.13</v>
      </c>
      <c r="J14" s="9">
        <v>1905.2455</v>
      </c>
      <c r="K14" s="9">
        <v>2446.3163</v>
      </c>
      <c r="L14" s="9">
        <v>2602.6469999999999</v>
      </c>
      <c r="M14" s="9">
        <v>2148.7127</v>
      </c>
      <c r="N14" s="9">
        <v>2228.701</v>
      </c>
      <c r="O14" s="9">
        <v>2418.855</v>
      </c>
      <c r="P14" s="9"/>
      <c r="Q14" s="9">
        <v>198.66</v>
      </c>
      <c r="R14" s="9">
        <v>188.29</v>
      </c>
      <c r="S14" s="9">
        <v>215.4</v>
      </c>
      <c r="T14" s="9">
        <v>186.87</v>
      </c>
      <c r="U14" s="9">
        <v>214.02010000000001</v>
      </c>
      <c r="V14" s="9">
        <v>238.708</v>
      </c>
      <c r="W14" s="9">
        <v>283.16300000000001</v>
      </c>
      <c r="X14" s="9">
        <v>243.33699999999999</v>
      </c>
      <c r="Y14" s="9">
        <v>348.55500000000001</v>
      </c>
      <c r="Z14" s="9">
        <v>1039.046</v>
      </c>
      <c r="AA14" s="9">
        <v>1031.8542</v>
      </c>
      <c r="AB14" s="9">
        <v>867.48199999999997</v>
      </c>
      <c r="AC14" s="9">
        <v>890.61400000000003</v>
      </c>
      <c r="AD14" s="9"/>
      <c r="AE14" s="9">
        <v>1109.83</v>
      </c>
      <c r="AF14" s="9">
        <v>1145.73</v>
      </c>
      <c r="AG14" s="9">
        <v>1218.77</v>
      </c>
      <c r="AH14" s="9">
        <v>1303.03</v>
      </c>
      <c r="AI14" s="9">
        <v>1382.4182000000001</v>
      </c>
      <c r="AJ14" s="9">
        <v>1490.0150000000001</v>
      </c>
      <c r="AK14" s="9">
        <v>1597.704</v>
      </c>
      <c r="AL14" s="9">
        <v>1689.376</v>
      </c>
      <c r="AM14" s="9">
        <v>2004.203</v>
      </c>
      <c r="AN14" s="9">
        <v>2305.373</v>
      </c>
      <c r="AO14" s="9">
        <v>2503.364</v>
      </c>
      <c r="AP14" s="9">
        <v>2341.9569999999999</v>
      </c>
      <c r="AQ14" s="9">
        <v>2269.0970000000002</v>
      </c>
      <c r="AR14" s="9"/>
      <c r="AS14" s="9"/>
      <c r="AT14" s="9">
        <v>2750.28</v>
      </c>
      <c r="AU14" s="9">
        <v>2815.43</v>
      </c>
      <c r="AV14" s="9">
        <v>3056.77</v>
      </c>
      <c r="AW14" s="9">
        <v>3183.694</v>
      </c>
      <c r="AX14" s="9">
        <v>3448.4070000000002</v>
      </c>
      <c r="AY14" s="9">
        <v>3731.6060000000002</v>
      </c>
      <c r="AZ14" s="9">
        <v>3734.6060000000002</v>
      </c>
      <c r="BA14" s="9">
        <v>4031.9784</v>
      </c>
      <c r="BB14" s="9">
        <v>5009.0940000000001</v>
      </c>
      <c r="BC14" s="9">
        <v>6197.2669999999998</v>
      </c>
      <c r="BD14" s="9">
        <v>5948.0487999999996</v>
      </c>
      <c r="BE14" s="9">
        <v>5711.2619999999997</v>
      </c>
      <c r="BF14" s="9">
        <v>5866.3029999999999</v>
      </c>
      <c r="BH14" s="8"/>
      <c r="BI14" s="11"/>
      <c r="BM14" s="11"/>
    </row>
    <row r="15" spans="1:65" x14ac:dyDescent="0.25">
      <c r="A15" s="14" t="s">
        <v>46</v>
      </c>
      <c r="B15" s="8" t="s">
        <v>47</v>
      </c>
      <c r="C15" s="9">
        <v>16538</v>
      </c>
      <c r="D15" s="9">
        <v>16642</v>
      </c>
      <c r="E15" s="9">
        <v>15913</v>
      </c>
      <c r="F15" s="9">
        <v>13806</v>
      </c>
      <c r="G15" s="9">
        <v>13661</v>
      </c>
      <c r="H15" s="9">
        <v>18747</v>
      </c>
      <c r="I15" s="9">
        <v>20411</v>
      </c>
      <c r="J15" s="9">
        <f>21657-2058</f>
        <v>19599</v>
      </c>
      <c r="K15" s="9">
        <f>26350-2372</f>
        <v>23978</v>
      </c>
      <c r="L15" s="9">
        <f>29137-2696</f>
        <v>26441</v>
      </c>
      <c r="M15" s="9">
        <f>27889-2580</f>
        <v>25309</v>
      </c>
      <c r="N15" s="9">
        <f>30134-2758</f>
        <v>27376</v>
      </c>
      <c r="O15" s="9">
        <f>33154-3031</f>
        <v>30123</v>
      </c>
      <c r="P15" s="9"/>
      <c r="Q15" s="9">
        <v>3177</v>
      </c>
      <c r="R15" s="9">
        <v>3164</v>
      </c>
      <c r="S15" s="9">
        <v>2690</v>
      </c>
      <c r="T15" s="9">
        <v>1972</v>
      </c>
      <c r="U15" s="9">
        <v>1332</v>
      </c>
      <c r="V15" s="9">
        <v>2150</v>
      </c>
      <c r="W15" s="9">
        <v>2556</v>
      </c>
      <c r="X15" s="9">
        <f>2596-370</f>
        <v>2226</v>
      </c>
      <c r="Y15" s="9">
        <f>4450-625</f>
        <v>3825</v>
      </c>
      <c r="Z15" s="9">
        <f>6831-1026</f>
        <v>5805</v>
      </c>
      <c r="AA15" s="9">
        <f>7318-1062</f>
        <v>6256</v>
      </c>
      <c r="AB15" s="9">
        <f>6525-914</f>
        <v>5611</v>
      </c>
      <c r="AC15" s="9">
        <f>5904-827</f>
        <v>5077</v>
      </c>
      <c r="AD15" s="9"/>
      <c r="AE15" s="9">
        <v>7355</v>
      </c>
      <c r="AF15" s="9">
        <v>7676</v>
      </c>
      <c r="AG15" s="9">
        <v>8030</v>
      </c>
      <c r="AH15" s="9">
        <v>8063</v>
      </c>
      <c r="AI15" s="9">
        <v>8043</v>
      </c>
      <c r="AJ15" s="9">
        <v>8256</v>
      </c>
      <c r="AK15" s="9">
        <v>8897</v>
      </c>
      <c r="AL15" s="9">
        <v>8691</v>
      </c>
      <c r="AM15" s="9">
        <v>9799</v>
      </c>
      <c r="AN15" s="9">
        <v>10984</v>
      </c>
      <c r="AO15" s="9">
        <v>11589</v>
      </c>
      <c r="AP15" s="9">
        <v>11710</v>
      </c>
      <c r="AQ15" s="9">
        <v>11794</v>
      </c>
      <c r="AR15" s="9"/>
      <c r="AS15" s="9"/>
      <c r="AT15" s="9">
        <v>34197</v>
      </c>
      <c r="AU15" s="9">
        <v>35037</v>
      </c>
      <c r="AV15" s="9">
        <v>35250</v>
      </c>
      <c r="AW15" s="9">
        <v>30479</v>
      </c>
      <c r="AX15" s="9">
        <v>29852</v>
      </c>
      <c r="AY15" s="9">
        <v>37235</v>
      </c>
      <c r="AZ15" s="9">
        <v>40088</v>
      </c>
      <c r="BA15" s="9">
        <v>38646</v>
      </c>
      <c r="BB15" s="9">
        <v>45251</v>
      </c>
      <c r="BC15" s="9">
        <v>52222</v>
      </c>
      <c r="BD15" s="9">
        <v>53672</v>
      </c>
      <c r="BE15" s="9">
        <v>54887</v>
      </c>
      <c r="BF15" s="9">
        <v>57594</v>
      </c>
      <c r="BH15" s="8"/>
      <c r="BI15" s="11"/>
      <c r="BM15" s="11"/>
    </row>
    <row r="16" spans="1:65" x14ac:dyDescent="0.25">
      <c r="A16" s="14" t="s">
        <v>48</v>
      </c>
      <c r="B16" s="8" t="s">
        <v>49</v>
      </c>
      <c r="C16" s="9">
        <v>4977.5</v>
      </c>
      <c r="D16" s="9">
        <v>4898.8</v>
      </c>
      <c r="E16" s="9">
        <v>5233</v>
      </c>
      <c r="F16" s="9">
        <v>5218.2</v>
      </c>
      <c r="G16" s="9">
        <v>5435.3</v>
      </c>
      <c r="H16" s="9">
        <v>5816.1</v>
      </c>
      <c r="I16" s="9">
        <v>6057</v>
      </c>
      <c r="J16" s="9">
        <v>5998.9</v>
      </c>
      <c r="K16" s="9">
        <v>6804.5</v>
      </c>
      <c r="L16" s="9">
        <v>8181.2</v>
      </c>
      <c r="M16" s="9">
        <v>7575.7</v>
      </c>
      <c r="N16" s="9">
        <v>8096.1</v>
      </c>
      <c r="O16" s="9">
        <v>8687.2000000000007</v>
      </c>
      <c r="P16" s="9"/>
      <c r="Q16" s="9">
        <v>968.4</v>
      </c>
      <c r="R16" s="9">
        <v>1054.4000000000001</v>
      </c>
      <c r="S16" s="9">
        <v>1093.7</v>
      </c>
      <c r="T16" s="9">
        <v>984</v>
      </c>
      <c r="U16" s="9">
        <v>978.7</v>
      </c>
      <c r="V16" s="9">
        <v>660.4</v>
      </c>
      <c r="W16" s="9">
        <v>948.3</v>
      </c>
      <c r="X16" s="9">
        <v>848.8</v>
      </c>
      <c r="Y16" s="9">
        <v>1225.9000000000001</v>
      </c>
      <c r="Z16" s="9">
        <v>1539.5</v>
      </c>
      <c r="AA16" s="9">
        <v>1230.5999999999999</v>
      </c>
      <c r="AB16" s="9">
        <v>965.1</v>
      </c>
      <c r="AC16" s="9">
        <v>846.8</v>
      </c>
      <c r="AD16" s="9"/>
      <c r="AE16" s="9">
        <v>6795.8</v>
      </c>
      <c r="AF16" s="9">
        <v>6925.9</v>
      </c>
      <c r="AG16" s="9">
        <v>7194.8</v>
      </c>
      <c r="AH16" s="9">
        <v>7222.6</v>
      </c>
      <c r="AI16" s="9">
        <v>7489.5</v>
      </c>
      <c r="AJ16" s="9">
        <v>7662.6</v>
      </c>
      <c r="AK16" s="9">
        <v>7915</v>
      </c>
      <c r="AL16" s="9">
        <v>8042</v>
      </c>
      <c r="AM16" s="9">
        <v>9072.6</v>
      </c>
      <c r="AN16" s="9">
        <v>9991</v>
      </c>
      <c r="AO16" s="9">
        <v>10464.700000000001</v>
      </c>
      <c r="AP16" s="9">
        <v>10369.9</v>
      </c>
      <c r="AQ16" s="9">
        <v>10633.7</v>
      </c>
      <c r="AR16" s="9"/>
      <c r="AS16" s="9"/>
      <c r="AT16" s="9">
        <v>14462.1</v>
      </c>
      <c r="AU16" s="9">
        <v>14402.2</v>
      </c>
      <c r="AV16" s="9">
        <v>14898.4</v>
      </c>
      <c r="AW16" s="9">
        <v>14819.5</v>
      </c>
      <c r="AX16" s="9">
        <v>15274.1</v>
      </c>
      <c r="AY16" s="9">
        <v>15571.3</v>
      </c>
      <c r="AZ16" s="9">
        <v>16406.2</v>
      </c>
      <c r="BA16" s="9">
        <v>16259.5</v>
      </c>
      <c r="BB16" s="9">
        <v>18521.099999999999</v>
      </c>
      <c r="BC16" s="9">
        <v>21190.7</v>
      </c>
      <c r="BD16" s="9">
        <v>21058.2</v>
      </c>
      <c r="BE16" s="9">
        <v>21484.6</v>
      </c>
      <c r="BF16" s="9">
        <v>22228</v>
      </c>
      <c r="BH16" s="8"/>
      <c r="BI16" s="11"/>
      <c r="BM16" s="11"/>
    </row>
    <row r="17" spans="1:65" x14ac:dyDescent="0.25">
      <c r="A17" s="7" t="s">
        <v>50</v>
      </c>
      <c r="B17" s="8" t="s">
        <v>51</v>
      </c>
      <c r="C17" s="9">
        <v>4083.9</v>
      </c>
      <c r="D17" s="9">
        <v>3974.9</v>
      </c>
      <c r="E17" s="9">
        <v>4207.3</v>
      </c>
      <c r="F17" s="9">
        <v>4355.5</v>
      </c>
      <c r="G17" s="9">
        <v>4469</v>
      </c>
      <c r="H17" s="9">
        <v>4746.7</v>
      </c>
      <c r="I17" s="9">
        <v>4944</v>
      </c>
      <c r="J17" s="9">
        <v>4652</v>
      </c>
      <c r="K17" s="9">
        <v>5434.5</v>
      </c>
      <c r="L17" s="9">
        <v>5780.1</v>
      </c>
      <c r="M17" s="9">
        <v>5599.3</v>
      </c>
      <c r="N17" s="9">
        <v>4993.2</v>
      </c>
      <c r="O17" s="9">
        <v>4947.5</v>
      </c>
      <c r="P17" s="9"/>
      <c r="Q17" s="9">
        <v>555.29999999999995</v>
      </c>
      <c r="R17" s="9">
        <v>549.6</v>
      </c>
      <c r="S17" s="9">
        <v>576.29999999999995</v>
      </c>
      <c r="T17" s="9">
        <v>520.5</v>
      </c>
      <c r="U17" s="9">
        <v>549.70000000000005</v>
      </c>
      <c r="V17" s="9">
        <v>565</v>
      </c>
      <c r="W17" s="9">
        <v>706.3</v>
      </c>
      <c r="X17" s="9">
        <v>648.70000000000005</v>
      </c>
      <c r="Y17" s="9">
        <v>983.8</v>
      </c>
      <c r="Z17" s="9">
        <v>919</v>
      </c>
      <c r="AA17" s="9">
        <v>984.1</v>
      </c>
      <c r="AB17" s="9">
        <v>890.5</v>
      </c>
      <c r="AC17" s="9">
        <v>825.1</v>
      </c>
      <c r="AD17" s="9"/>
      <c r="AE17" s="9">
        <v>2547.6</v>
      </c>
      <c r="AF17" s="9">
        <v>2642.3</v>
      </c>
      <c r="AG17" s="9">
        <v>2753</v>
      </c>
      <c r="AH17" s="9">
        <v>2810.5</v>
      </c>
      <c r="AI17" s="9">
        <v>2812.3</v>
      </c>
      <c r="AJ17" s="9">
        <v>2941.5</v>
      </c>
      <c r="AK17" s="9">
        <v>3045.5</v>
      </c>
      <c r="AL17" s="9">
        <v>3176.1</v>
      </c>
      <c r="AM17" s="9">
        <v>3512.3</v>
      </c>
      <c r="AN17" s="9">
        <v>3853.7</v>
      </c>
      <c r="AO17" s="9">
        <v>3937.1</v>
      </c>
      <c r="AP17" s="9">
        <v>4170.3999999999996</v>
      </c>
      <c r="AQ17" s="9">
        <v>4234.8999999999996</v>
      </c>
      <c r="AR17" s="9"/>
      <c r="AS17" s="9"/>
      <c r="AT17" s="9">
        <v>6768.7</v>
      </c>
      <c r="AU17" s="9">
        <v>6489</v>
      </c>
      <c r="AV17" s="9">
        <v>6819.7</v>
      </c>
      <c r="AW17" s="9">
        <v>6921.1</v>
      </c>
      <c r="AX17" s="9">
        <v>7240</v>
      </c>
      <c r="AY17" s="9">
        <v>7383.9</v>
      </c>
      <c r="AZ17" s="9">
        <v>7858.8</v>
      </c>
      <c r="BA17" s="9">
        <v>7930.6</v>
      </c>
      <c r="BB17" s="9">
        <v>8800.6</v>
      </c>
      <c r="BC17" s="9">
        <v>9803.4</v>
      </c>
      <c r="BD17" s="9">
        <v>9845.2999999999993</v>
      </c>
      <c r="BE17" s="9">
        <v>9755.7999999999993</v>
      </c>
      <c r="BF17" s="9">
        <v>8942.2000000000007</v>
      </c>
      <c r="BH17" s="8"/>
      <c r="BI17" s="11"/>
      <c r="BM17" s="11"/>
    </row>
    <row r="18" spans="1:65" x14ac:dyDescent="0.25">
      <c r="A18" s="7" t="s">
        <v>52</v>
      </c>
      <c r="B18" s="8" t="s">
        <v>53</v>
      </c>
      <c r="C18" s="9">
        <v>2931.1680000000001</v>
      </c>
      <c r="D18" s="9">
        <v>2218.239</v>
      </c>
      <c r="E18" s="9">
        <v>2277.5410000000002</v>
      </c>
      <c r="F18" s="9">
        <v>2248.9360000000001</v>
      </c>
      <c r="G18" s="9">
        <v>2304.027</v>
      </c>
      <c r="H18" s="9">
        <v>3374.42</v>
      </c>
      <c r="I18" s="9">
        <v>3755.7104450000002</v>
      </c>
      <c r="J18" s="9">
        <v>3338.1852490000001</v>
      </c>
      <c r="K18" s="9">
        <v>4590.2610000000004</v>
      </c>
      <c r="L18" s="9">
        <v>4836.1310000000003</v>
      </c>
      <c r="M18" s="9">
        <v>4507.0066580000002</v>
      </c>
      <c r="N18" s="9">
        <v>4503.6154130000004</v>
      </c>
      <c r="O18" s="9">
        <v>4675.7359999999999</v>
      </c>
      <c r="P18" s="9"/>
      <c r="Q18" s="9">
        <v>403.39699999999999</v>
      </c>
      <c r="R18" s="9">
        <v>431.822</v>
      </c>
      <c r="S18" s="9">
        <v>457.94600000000003</v>
      </c>
      <c r="T18" s="9">
        <v>391.87700000000001</v>
      </c>
      <c r="U18" s="9">
        <v>366.09399999999999</v>
      </c>
      <c r="V18" s="9">
        <v>437.96699999999998</v>
      </c>
      <c r="W18" s="9">
        <f>(437400155+48648035)/1000000</f>
        <v>486.04818999999998</v>
      </c>
      <c r="X18" s="9">
        <f>(384407313+46196537)/1000000</f>
        <v>430.60385000000002</v>
      </c>
      <c r="Y18" s="9">
        <f>652.286+75.149</f>
        <v>727.43499999999995</v>
      </c>
      <c r="Z18" s="9">
        <f>806.035+62.227</f>
        <v>868.26199999999994</v>
      </c>
      <c r="AA18" s="9">
        <f>(1504575001+56944289)/1000000</f>
        <v>1561.51929</v>
      </c>
      <c r="AB18" s="9">
        <f>(1419200508+46579609)/1000000</f>
        <v>1465.780117</v>
      </c>
      <c r="AC18" s="9">
        <f>(1313558+48986)/1000</f>
        <v>1362.5440000000001</v>
      </c>
      <c r="AD18" s="9"/>
      <c r="AE18" s="9">
        <v>2524.6170000000002</v>
      </c>
      <c r="AF18" s="9">
        <v>2446.2559999999999</v>
      </c>
      <c r="AG18" s="9">
        <v>2484.953</v>
      </c>
      <c r="AH18" s="9">
        <v>2658.933</v>
      </c>
      <c r="AI18" s="9">
        <v>2670.5239999999999</v>
      </c>
      <c r="AJ18" s="9">
        <v>2748.2069999999999</v>
      </c>
      <c r="AK18" s="9">
        <f>(2335435779+431966950)/1000000</f>
        <v>2767.4027289999999</v>
      </c>
      <c r="AL18" s="9">
        <f>(2352523422+479059756)/1000000</f>
        <v>2831.5831779999999</v>
      </c>
      <c r="AM18" s="9">
        <f>2522.553+602.967</f>
        <v>3125.52</v>
      </c>
      <c r="AN18" s="9">
        <v>3534.4360000000001</v>
      </c>
      <c r="AO18" s="9">
        <v>3579.84807</v>
      </c>
      <c r="AP18" s="9">
        <v>3539.4831020000001</v>
      </c>
      <c r="AQ18" s="9">
        <v>3475.46</v>
      </c>
      <c r="AR18" s="9"/>
      <c r="AS18" s="9"/>
      <c r="AT18" s="9">
        <v>6341.125</v>
      </c>
      <c r="AU18" s="9">
        <v>5653.1970000000001</v>
      </c>
      <c r="AV18" s="9">
        <v>5928.7809999999999</v>
      </c>
      <c r="AW18" s="9">
        <v>6073.4629999999997</v>
      </c>
      <c r="AX18" s="9">
        <v>6339.0590000000002</v>
      </c>
      <c r="AY18" s="9">
        <v>7298.0730000000003</v>
      </c>
      <c r="AZ18" s="9">
        <v>7368.4319999999998</v>
      </c>
      <c r="BA18" s="9">
        <v>6900.4488369999999</v>
      </c>
      <c r="BB18" s="9">
        <v>8865.9449999999997</v>
      </c>
      <c r="BC18" s="9">
        <v>7916.0450000000001</v>
      </c>
      <c r="BD18" s="9">
        <v>9282.8100190000005</v>
      </c>
      <c r="BE18" s="9">
        <v>10139.560616999999</v>
      </c>
      <c r="BF18" s="9">
        <v>10022.038</v>
      </c>
      <c r="BH18" s="8"/>
      <c r="BI18" s="11"/>
      <c r="BM18" s="11"/>
    </row>
    <row r="19" spans="1:65" x14ac:dyDescent="0.25">
      <c r="A19" s="7" t="s">
        <v>54</v>
      </c>
      <c r="B19" s="8" t="s">
        <v>55</v>
      </c>
      <c r="C19" s="9">
        <v>3722.9637910000001</v>
      </c>
      <c r="D19" s="9">
        <v>3749.25783</v>
      </c>
      <c r="E19" s="9">
        <v>4069.5005700000002</v>
      </c>
      <c r="F19" s="9">
        <v>4282.0809749999999</v>
      </c>
      <c r="G19" s="9">
        <v>4393.862556</v>
      </c>
      <c r="H19" s="9">
        <v>4603.5788339999999</v>
      </c>
      <c r="I19" s="9">
        <v>4544.6761749999996</v>
      </c>
      <c r="J19" s="9">
        <v>4765.2355219999999</v>
      </c>
      <c r="K19" s="9">
        <v>5143.8</v>
      </c>
      <c r="L19" s="9">
        <v>6047.5</v>
      </c>
      <c r="M19" s="9">
        <v>5843.9</v>
      </c>
      <c r="N19" s="9">
        <v>5807.499108</v>
      </c>
      <c r="O19" s="9">
        <v>5319.2</v>
      </c>
      <c r="P19" s="9"/>
      <c r="Q19" s="9">
        <f>400.752175+246.1</f>
        <v>646.85217499999999</v>
      </c>
      <c r="R19" s="9">
        <f>475.120319+199.3</f>
        <v>674.42031900000006</v>
      </c>
      <c r="S19" s="9">
        <f>528.118737+223.8</f>
        <v>751.91873699999996</v>
      </c>
      <c r="T19" s="9">
        <f>526.63787+203</f>
        <v>729.63787000000002</v>
      </c>
      <c r="U19" s="9">
        <f>497.479037+245.6</f>
        <v>743.07903699999997</v>
      </c>
      <c r="V19" s="9">
        <f>511.4+238.1</f>
        <v>749.5</v>
      </c>
      <c r="W19" s="9">
        <f>556+206.7</f>
        <v>762.7</v>
      </c>
      <c r="X19" s="9">
        <f>346.4+292.8</f>
        <v>639.20000000000005</v>
      </c>
      <c r="Y19" s="9">
        <v>882.8</v>
      </c>
      <c r="Z19" s="9">
        <v>1186.5999999999999</v>
      </c>
      <c r="AA19" s="9">
        <v>1221.5999999999999</v>
      </c>
      <c r="AB19" s="9">
        <v>1249.0999999999999</v>
      </c>
      <c r="AC19" s="9">
        <v>1834.5</v>
      </c>
      <c r="AD19" s="9"/>
      <c r="AE19" s="9">
        <v>3021.7943869999999</v>
      </c>
      <c r="AF19" s="9">
        <v>3131.1268759999998</v>
      </c>
      <c r="AG19" s="9">
        <v>3267.331025</v>
      </c>
      <c r="AH19" s="9">
        <v>3462.7041159999999</v>
      </c>
      <c r="AI19" s="9">
        <v>3485.2153490000001</v>
      </c>
      <c r="AJ19" s="9">
        <v>3605.6613349999998</v>
      </c>
      <c r="AK19" s="9">
        <v>3937.6100390000001</v>
      </c>
      <c r="AL19" s="9">
        <v>4070.9056289999999</v>
      </c>
      <c r="AM19" s="9">
        <v>4561</v>
      </c>
      <c r="AN19" s="9">
        <v>5062.8999999999996</v>
      </c>
      <c r="AO19" s="9">
        <v>5576.3</v>
      </c>
      <c r="AP19" s="9">
        <v>5802.5821560000004</v>
      </c>
      <c r="AQ19" s="9">
        <v>5821.3</v>
      </c>
      <c r="AR19" s="9"/>
      <c r="AS19" s="9"/>
      <c r="AT19" s="9">
        <v>9348.3259999999991</v>
      </c>
      <c r="AU19" s="9">
        <v>9462.0350170000002</v>
      </c>
      <c r="AV19" s="9">
        <v>9966.6308969999991</v>
      </c>
      <c r="AW19" s="9">
        <v>10338.884795</v>
      </c>
      <c r="AX19" s="9">
        <v>10477.848873999999</v>
      </c>
      <c r="AY19" s="9">
        <v>10838.200084</v>
      </c>
      <c r="AZ19" s="9">
        <v>11392.69846</v>
      </c>
      <c r="BA19" s="9">
        <v>11566.621671999999</v>
      </c>
      <c r="BB19" s="9">
        <v>12827.4</v>
      </c>
      <c r="BC19" s="9">
        <v>14702.5</v>
      </c>
      <c r="BD19" s="9">
        <v>15147.7</v>
      </c>
      <c r="BE19" s="9">
        <v>15571.258639</v>
      </c>
      <c r="BF19" s="9">
        <v>15703.2</v>
      </c>
      <c r="BH19" s="8"/>
      <c r="BI19" s="11"/>
      <c r="BM19" s="11"/>
    </row>
    <row r="20" spans="1:65" x14ac:dyDescent="0.25">
      <c r="A20" s="7" t="s">
        <v>56</v>
      </c>
      <c r="B20" s="8" t="s">
        <v>57</v>
      </c>
      <c r="C20" s="9">
        <v>2753.8</v>
      </c>
      <c r="D20" s="9">
        <v>2750.6</v>
      </c>
      <c r="E20" s="9">
        <v>2886.1</v>
      </c>
      <c r="F20" s="9">
        <v>2877.8</v>
      </c>
      <c r="G20" s="9">
        <v>2959.5</v>
      </c>
      <c r="H20" s="9">
        <v>3268.6</v>
      </c>
      <c r="I20" s="9">
        <v>3719.4</v>
      </c>
      <c r="J20" s="9">
        <v>3780.3</v>
      </c>
      <c r="K20" s="9">
        <v>3956.6</v>
      </c>
      <c r="L20" s="9">
        <v>4556.1000000000004</v>
      </c>
      <c r="M20" s="9">
        <v>4654.6000000000004</v>
      </c>
      <c r="N20" s="9">
        <v>4797.8999999999996</v>
      </c>
      <c r="O20" s="9">
        <v>4768.2</v>
      </c>
      <c r="P20" s="9"/>
      <c r="Q20" s="9">
        <v>336.3</v>
      </c>
      <c r="R20" s="9">
        <v>329.5</v>
      </c>
      <c r="S20" s="9">
        <v>300.10000000000002</v>
      </c>
      <c r="T20" s="9">
        <v>248.8</v>
      </c>
      <c r="U20" s="9">
        <v>388.4</v>
      </c>
      <c r="V20" s="9">
        <v>477.6</v>
      </c>
      <c r="W20" s="9">
        <v>630.5</v>
      </c>
      <c r="X20" s="9">
        <v>578.5</v>
      </c>
      <c r="Y20" s="9">
        <v>805.4</v>
      </c>
      <c r="Z20" s="9">
        <v>1402.1</v>
      </c>
      <c r="AA20" s="9">
        <v>1616.8</v>
      </c>
      <c r="AB20" s="9">
        <v>1636</v>
      </c>
      <c r="AC20" s="9">
        <v>1451.9</v>
      </c>
      <c r="AD20" s="9"/>
      <c r="AE20" s="9">
        <v>2581.9</v>
      </c>
      <c r="AF20" s="9">
        <v>2620.1</v>
      </c>
      <c r="AG20" s="9">
        <v>2700.8</v>
      </c>
      <c r="AH20" s="9">
        <v>2937.6</v>
      </c>
      <c r="AI20" s="9">
        <v>3827.2</v>
      </c>
      <c r="AJ20" s="9">
        <v>3892.1</v>
      </c>
      <c r="AK20" s="9">
        <v>3459.8</v>
      </c>
      <c r="AL20" s="9">
        <v>3313.7</v>
      </c>
      <c r="AM20" s="9">
        <v>3653.1</v>
      </c>
      <c r="AN20" s="9">
        <v>4406.3999999999996</v>
      </c>
      <c r="AO20" s="9">
        <v>4445</v>
      </c>
      <c r="AP20" s="9">
        <v>4482.3999999999996</v>
      </c>
      <c r="AQ20" s="9">
        <v>4869.5</v>
      </c>
      <c r="AR20" s="9"/>
      <c r="AS20" s="9"/>
      <c r="AT20" s="9">
        <v>10233.1</v>
      </c>
      <c r="AU20" s="9">
        <v>10300.1</v>
      </c>
      <c r="AV20" s="9">
        <v>10468.4</v>
      </c>
      <c r="AW20" s="9">
        <v>10400.4</v>
      </c>
      <c r="AX20" s="9">
        <v>11935.6</v>
      </c>
      <c r="AY20" s="9">
        <v>12373.2</v>
      </c>
      <c r="AZ20" s="9">
        <v>12639.9</v>
      </c>
      <c r="BA20" s="9">
        <v>12242.8</v>
      </c>
      <c r="BB20" s="9">
        <v>13232.6</v>
      </c>
      <c r="BC20" s="9">
        <v>15602.4</v>
      </c>
      <c r="BD20" s="9">
        <v>16656.900000000001</v>
      </c>
      <c r="BE20" s="9">
        <v>17105.3</v>
      </c>
      <c r="BF20" s="9">
        <v>16785</v>
      </c>
      <c r="BH20" s="8"/>
      <c r="BI20" s="11"/>
      <c r="BM20" s="11"/>
    </row>
    <row r="21" spans="1:65" x14ac:dyDescent="0.25">
      <c r="A21" s="7" t="s">
        <v>58</v>
      </c>
      <c r="B21" s="8" t="s">
        <v>59</v>
      </c>
      <c r="C21" s="9">
        <v>1521.862756</v>
      </c>
      <c r="D21" s="9">
        <v>1406.1177049999999</v>
      </c>
      <c r="E21" s="9">
        <v>1521.778409</v>
      </c>
      <c r="F21" s="9">
        <v>1542.6876150000001</v>
      </c>
      <c r="G21" s="9">
        <v>1523.852981</v>
      </c>
      <c r="H21" s="9">
        <v>1595.1918470000001</v>
      </c>
      <c r="I21" s="9">
        <v>1701.005768</v>
      </c>
      <c r="J21" s="9">
        <v>1835.9728050000001</v>
      </c>
      <c r="K21" s="9">
        <v>2069.7152430000001</v>
      </c>
      <c r="L21" s="9">
        <v>2580.6797310000002</v>
      </c>
      <c r="M21" s="9">
        <v>2473.4789470000001</v>
      </c>
      <c r="N21" s="9">
        <v>2388.9910949999999</v>
      </c>
      <c r="O21" s="9">
        <v>2723.9713299999999</v>
      </c>
      <c r="P21" s="9"/>
      <c r="Q21" s="9">
        <v>171.98707300000001</v>
      </c>
      <c r="R21" s="9">
        <v>182.928181</v>
      </c>
      <c r="S21" s="9">
        <v>168.96582000000001</v>
      </c>
      <c r="T21" s="9">
        <v>137.49244200000001</v>
      </c>
      <c r="U21" s="9">
        <v>175.239114</v>
      </c>
      <c r="V21" s="9">
        <v>185.737065</v>
      </c>
      <c r="W21" s="9">
        <v>252.866884</v>
      </c>
      <c r="X21" s="9">
        <v>216.13148899999999</v>
      </c>
      <c r="Y21" s="9">
        <v>284.31677400000001</v>
      </c>
      <c r="Z21" s="9">
        <v>415.81743799999998</v>
      </c>
      <c r="AA21" s="9">
        <v>451.21105599999999</v>
      </c>
      <c r="AB21" s="9">
        <v>459.75287300000002</v>
      </c>
      <c r="AC21" s="9">
        <v>410.11826500000001</v>
      </c>
      <c r="AD21" s="9"/>
      <c r="AE21" s="9">
        <v>986.74763700000005</v>
      </c>
      <c r="AF21" s="9">
        <v>1106.158236</v>
      </c>
      <c r="AG21" s="9">
        <v>1195.0312980000001</v>
      </c>
      <c r="AH21" s="9">
        <v>1274.144957</v>
      </c>
      <c r="AI21" s="9">
        <v>1336.9447909999999</v>
      </c>
      <c r="AJ21" s="9">
        <v>1423.551101</v>
      </c>
      <c r="AK21" s="9">
        <v>1503.771784</v>
      </c>
      <c r="AL21" s="9">
        <v>1555.713076</v>
      </c>
      <c r="AM21" s="9">
        <v>1804.226077</v>
      </c>
      <c r="AN21" s="9">
        <v>2078.8757460000002</v>
      </c>
      <c r="AO21" s="9">
        <v>2173.0458090000002</v>
      </c>
      <c r="AP21" s="9">
        <v>2262.2336890000001</v>
      </c>
      <c r="AQ21" s="9">
        <v>2313.9056860000001</v>
      </c>
      <c r="AR21" s="9"/>
      <c r="AS21" s="9"/>
      <c r="AT21" s="9">
        <v>3094.3838420000002</v>
      </c>
      <c r="AU21" s="9">
        <v>3113.4969329999999</v>
      </c>
      <c r="AV21" s="9">
        <v>3329.3265470000001</v>
      </c>
      <c r="AW21" s="9">
        <v>3366.191131</v>
      </c>
      <c r="AX21" s="9">
        <v>3454.9038620000001</v>
      </c>
      <c r="AY21" s="9">
        <v>3587.675847</v>
      </c>
      <c r="AZ21" s="9">
        <v>3848.5110920000002</v>
      </c>
      <c r="BA21" s="9">
        <v>3969.3437020000001</v>
      </c>
      <c r="BB21" s="9">
        <v>4520.5911450000003</v>
      </c>
      <c r="BC21" s="9">
        <v>5391.6135690000001</v>
      </c>
      <c r="BD21" s="9">
        <v>5379.492013</v>
      </c>
      <c r="BE21" s="9">
        <v>5352.7626550000004</v>
      </c>
      <c r="BF21" s="9">
        <v>5722.4058429999995</v>
      </c>
      <c r="BH21" s="8"/>
      <c r="BI21" s="11"/>
      <c r="BM21" s="11"/>
    </row>
    <row r="22" spans="1:65" x14ac:dyDescent="0.25">
      <c r="A22" s="17" t="s">
        <v>60</v>
      </c>
      <c r="B22" s="8" t="s">
        <v>61</v>
      </c>
      <c r="C22" s="9">
        <v>7691.3810000000003</v>
      </c>
      <c r="D22" s="9">
        <v>7773.7730000000001</v>
      </c>
      <c r="E22" s="9">
        <v>8346.1450000000004</v>
      </c>
      <c r="F22" s="9">
        <v>8517.5849999999991</v>
      </c>
      <c r="G22" s="9">
        <v>9019.2780000000002</v>
      </c>
      <c r="H22" s="9">
        <v>9507.7759999999998</v>
      </c>
      <c r="I22" s="9">
        <v>10272.352000000001</v>
      </c>
      <c r="J22" s="9">
        <v>10698.874684</v>
      </c>
      <c r="K22" s="9">
        <v>11704.777</v>
      </c>
      <c r="L22" s="9">
        <v>13548.045</v>
      </c>
      <c r="M22" s="9">
        <v>13469.498</v>
      </c>
      <c r="N22" s="9">
        <v>13616.685217</v>
      </c>
      <c r="O22" s="9">
        <v>14565.248</v>
      </c>
      <c r="P22" s="9"/>
      <c r="Q22" s="9">
        <v>818.221</v>
      </c>
      <c r="R22" s="9">
        <v>761.20799999999997</v>
      </c>
      <c r="S22" s="9">
        <v>777.32100000000003</v>
      </c>
      <c r="T22" s="9">
        <v>874.46500000000003</v>
      </c>
      <c r="U22" s="9">
        <v>795.59400000000005</v>
      </c>
      <c r="V22" s="9">
        <v>820.40099999999995</v>
      </c>
      <c r="W22" s="9">
        <v>1033.1089999999999</v>
      </c>
      <c r="X22" s="9">
        <v>1051.808219</v>
      </c>
      <c r="Y22" s="9">
        <v>1461.893</v>
      </c>
      <c r="Z22" s="9">
        <v>1700.268</v>
      </c>
      <c r="AA22" s="9">
        <v>1816.002</v>
      </c>
      <c r="AB22" s="9">
        <v>1903.957204</v>
      </c>
      <c r="AC22" s="9">
        <v>1876.7090000000001</v>
      </c>
      <c r="AD22" s="9"/>
      <c r="AE22" s="9">
        <v>4067.7910000000002</v>
      </c>
      <c r="AF22" s="9">
        <v>4143.174</v>
      </c>
      <c r="AG22" s="9">
        <v>4350.7259999999997</v>
      </c>
      <c r="AH22" s="9">
        <v>4444.4809999999998</v>
      </c>
      <c r="AI22" s="9">
        <v>4539.32</v>
      </c>
      <c r="AJ22" s="9">
        <v>4645.7560000000003</v>
      </c>
      <c r="AK22" s="9">
        <v>4812.09</v>
      </c>
      <c r="AL22" s="9">
        <v>4634.8736349999999</v>
      </c>
      <c r="AM22" s="9">
        <v>4988.0780000000004</v>
      </c>
      <c r="AN22" s="9">
        <v>5966.8429999999998</v>
      </c>
      <c r="AO22" s="9">
        <v>6005.2489999999998</v>
      </c>
      <c r="AP22" s="9">
        <v>5896.6057039999996</v>
      </c>
      <c r="AQ22" s="9">
        <v>6048.5649999999996</v>
      </c>
      <c r="AR22" s="9"/>
      <c r="AS22" s="9"/>
      <c r="AT22" s="9">
        <v>14867.527</v>
      </c>
      <c r="AU22" s="9">
        <v>15016.983</v>
      </c>
      <c r="AV22" s="9">
        <v>15778.374</v>
      </c>
      <c r="AW22" s="9">
        <v>16082.63</v>
      </c>
      <c r="AX22" s="9">
        <v>16588.505000000001</v>
      </c>
      <c r="AY22" s="9">
        <v>17311.127</v>
      </c>
      <c r="AZ22" s="9">
        <v>18399.039000000001</v>
      </c>
      <c r="BA22" s="9">
        <v>18634.105476000001</v>
      </c>
      <c r="BB22" s="9">
        <v>20831.013999999999</v>
      </c>
      <c r="BC22" s="9">
        <v>24044.528999999999</v>
      </c>
      <c r="BD22" s="9">
        <v>23672.681</v>
      </c>
      <c r="BE22" s="9">
        <v>24862.788788999998</v>
      </c>
      <c r="BF22" s="9">
        <v>25715.684000000001</v>
      </c>
      <c r="BH22" s="8"/>
      <c r="BI22" s="11"/>
      <c r="BM22" s="11"/>
    </row>
    <row r="23" spans="1:65" x14ac:dyDescent="0.25">
      <c r="A23" s="7" t="s">
        <v>62</v>
      </c>
      <c r="B23" s="8" t="s">
        <v>63</v>
      </c>
      <c r="C23" s="9">
        <v>12831</v>
      </c>
      <c r="D23" s="9">
        <v>13202</v>
      </c>
      <c r="E23" s="9">
        <v>14449</v>
      </c>
      <c r="F23" s="9">
        <v>14394</v>
      </c>
      <c r="G23" s="9">
        <v>14684</v>
      </c>
      <c r="H23" s="9">
        <v>16240</v>
      </c>
      <c r="I23" s="9">
        <v>17099</v>
      </c>
      <c r="J23" s="9">
        <v>17361</v>
      </c>
      <c r="K23" s="9">
        <v>19593</v>
      </c>
      <c r="L23" s="9">
        <v>24337</v>
      </c>
      <c r="M23" s="9">
        <v>21781</v>
      </c>
      <c r="N23" s="9">
        <v>24117</v>
      </c>
      <c r="O23" s="9">
        <v>26712</v>
      </c>
      <c r="P23" s="9"/>
      <c r="Q23" s="9">
        <v>2262</v>
      </c>
      <c r="R23" s="9">
        <v>2510</v>
      </c>
      <c r="S23" s="9">
        <v>2561</v>
      </c>
      <c r="T23" s="9">
        <v>2548</v>
      </c>
      <c r="U23" s="9">
        <v>2497</v>
      </c>
      <c r="V23" s="9">
        <v>2761</v>
      </c>
      <c r="W23" s="9">
        <v>3308</v>
      </c>
      <c r="X23" s="9">
        <v>2924</v>
      </c>
      <c r="Y23" s="9">
        <v>4116</v>
      </c>
      <c r="Z23" s="9">
        <v>5069</v>
      </c>
      <c r="AA23" s="9">
        <v>5065</v>
      </c>
      <c r="AB23" s="9">
        <v>4833</v>
      </c>
      <c r="AC23" s="9">
        <v>4668</v>
      </c>
      <c r="AD23" s="9"/>
      <c r="AE23" s="9">
        <v>5164</v>
      </c>
      <c r="AF23" s="9">
        <v>5496</v>
      </c>
      <c r="AG23" s="9">
        <v>5774</v>
      </c>
      <c r="AH23" s="9">
        <v>6055</v>
      </c>
      <c r="AI23" s="9">
        <v>6211</v>
      </c>
      <c r="AJ23" s="9">
        <v>6454</v>
      </c>
      <c r="AK23" s="9">
        <v>6798</v>
      </c>
      <c r="AL23" s="9">
        <v>6810</v>
      </c>
      <c r="AM23" s="9">
        <v>7834</v>
      </c>
      <c r="AN23" s="9">
        <v>8765</v>
      </c>
      <c r="AO23" s="9">
        <v>9396</v>
      </c>
      <c r="AP23" s="9">
        <v>9323</v>
      </c>
      <c r="AQ23" s="9">
        <v>9599</v>
      </c>
      <c r="AR23" s="9"/>
      <c r="AS23" s="9"/>
      <c r="AT23" s="9">
        <v>22123</v>
      </c>
      <c r="AU23" s="9">
        <v>23369</v>
      </c>
      <c r="AV23" s="9">
        <v>24932</v>
      </c>
      <c r="AW23" s="9">
        <v>25269</v>
      </c>
      <c r="AX23" s="9">
        <v>25604</v>
      </c>
      <c r="AY23" s="9">
        <v>27776</v>
      </c>
      <c r="AZ23" s="9">
        <v>29693</v>
      </c>
      <c r="BA23" s="9">
        <v>29609</v>
      </c>
      <c r="BB23" s="9">
        <v>34137</v>
      </c>
      <c r="BC23" s="9">
        <v>41105</v>
      </c>
      <c r="BD23" s="9">
        <v>39165</v>
      </c>
      <c r="BE23" s="9">
        <v>40800</v>
      </c>
      <c r="BF23" s="9">
        <v>43705</v>
      </c>
      <c r="BH23" s="8"/>
      <c r="BI23" s="11"/>
      <c r="BM23" s="11"/>
    </row>
    <row r="24" spans="1:65" x14ac:dyDescent="0.25">
      <c r="A24" s="17" t="s">
        <v>64</v>
      </c>
      <c r="B24" s="8" t="s">
        <v>65</v>
      </c>
      <c r="C24" s="9">
        <v>8269.5</v>
      </c>
      <c r="D24" s="9">
        <v>8013.0999999999995</v>
      </c>
      <c r="E24" s="9">
        <v>8979.5</v>
      </c>
      <c r="F24" s="9">
        <v>9368.2000000000007</v>
      </c>
      <c r="G24" s="9">
        <v>9452</v>
      </c>
      <c r="H24" s="9">
        <f>7266.9+2892.9</f>
        <v>10159.799999999999</v>
      </c>
      <c r="I24" s="9">
        <f>7252.5+2845.1</f>
        <v>10097.6</v>
      </c>
      <c r="J24" s="9">
        <f>6869.7+3093</f>
        <v>9962.7000000000007</v>
      </c>
      <c r="K24" s="9">
        <f>7713.5+3458.3</f>
        <v>11171.8</v>
      </c>
      <c r="L24" s="9">
        <f>9199+4059.8</f>
        <v>13258.8</v>
      </c>
      <c r="M24" s="9">
        <f>7762.3+3907.7</f>
        <v>11670</v>
      </c>
      <c r="N24" s="9">
        <f>8333.3+3962.5</f>
        <v>12295.8</v>
      </c>
      <c r="O24" s="9">
        <f>8447.2+4232.2</f>
        <v>12679.400000000001</v>
      </c>
      <c r="P24" s="9"/>
      <c r="Q24" s="9">
        <v>783.1</v>
      </c>
      <c r="R24" s="9">
        <v>906.4</v>
      </c>
      <c r="S24" s="9">
        <v>1077.7</v>
      </c>
      <c r="T24" s="9">
        <v>930.4</v>
      </c>
      <c r="U24" s="9">
        <v>1105.5999999999999</v>
      </c>
      <c r="V24" s="9">
        <v>1019.9</v>
      </c>
      <c r="W24" s="9">
        <v>1278.0999999999999</v>
      </c>
      <c r="X24" s="9">
        <v>1100.0999999999999</v>
      </c>
      <c r="Y24" s="9">
        <v>1701.7</v>
      </c>
      <c r="Z24" s="9">
        <v>2029.3</v>
      </c>
      <c r="AA24" s="9">
        <v>1609.9</v>
      </c>
      <c r="AB24" s="9">
        <v>1574</v>
      </c>
      <c r="AC24" s="9">
        <v>1501.4</v>
      </c>
      <c r="AD24" s="9"/>
      <c r="AE24" s="9">
        <v>7480.4</v>
      </c>
      <c r="AF24" s="9">
        <v>7895.2</v>
      </c>
      <c r="AG24" s="9">
        <v>7819</v>
      </c>
      <c r="AH24" s="9">
        <v>7877.7999999999993</v>
      </c>
      <c r="AI24" s="9">
        <v>7987.4000000000005</v>
      </c>
      <c r="AJ24" s="9">
        <f>1270.9+801.1+5881.1+632.3</f>
        <v>8585.4</v>
      </c>
      <c r="AK24" s="9">
        <f>1277.3+752.5+6008.1+596.4</f>
        <v>8634.3000000000011</v>
      </c>
      <c r="AL24" s="9">
        <f>1299.8+747.5+6048.7+613</f>
        <v>8709</v>
      </c>
      <c r="AM24" s="9">
        <f>1470.7+1255.5+6857.6+876.1</f>
        <v>10459.9</v>
      </c>
      <c r="AN24" s="9">
        <f>1694.4+1194.9+7865.1+859.4</f>
        <v>11613.800000000001</v>
      </c>
      <c r="AO24" s="9">
        <f>1626.5+1251.6+7806.9+909.5</f>
        <v>11594.5</v>
      </c>
      <c r="AP24" s="9">
        <f>1572.5+1188.2+7757.8+940.2</f>
        <v>11458.7</v>
      </c>
      <c r="AQ24" s="9">
        <f>1644.9+1149.5+7930.8+921.4</f>
        <v>11646.6</v>
      </c>
      <c r="AR24" s="9"/>
      <c r="AS24" s="9"/>
      <c r="AT24" s="9">
        <f>9562.5+11269.7</f>
        <v>20832.2</v>
      </c>
      <c r="AU24" s="9">
        <f>9003.4+11520.5</f>
        <v>20523.900000000001</v>
      </c>
      <c r="AV24" s="9">
        <f>10034.3+11747.1</f>
        <v>21781.4</v>
      </c>
      <c r="AW24" s="9">
        <f>10024.5+12118.7</f>
        <v>22143.200000000001</v>
      </c>
      <c r="AX24" s="9">
        <f>10195.4+12685.2</f>
        <v>22880.6</v>
      </c>
      <c r="AY24" s="9">
        <f>11017.1+13302</f>
        <v>24319.1</v>
      </c>
      <c r="AZ24" s="9">
        <f>11115.8+13552.3</f>
        <v>24668.1</v>
      </c>
      <c r="BA24" s="9">
        <f>10775.5+13990.6</f>
        <v>24766.1</v>
      </c>
      <c r="BB24" s="9">
        <f>13009.5+16056.5</f>
        <v>29066</v>
      </c>
      <c r="BC24" s="9">
        <f>15212+17882.6</f>
        <v>33094.6</v>
      </c>
      <c r="BD24" s="9">
        <f>13966.4+17859.9</f>
        <v>31826.300000000003</v>
      </c>
      <c r="BE24" s="9">
        <f>14527.1+18074.5</f>
        <v>32601.599999999999</v>
      </c>
      <c r="BF24" s="9">
        <f>14480.9+18712.8</f>
        <v>33193.699999999997</v>
      </c>
      <c r="BH24" s="8"/>
      <c r="BI24" s="11"/>
      <c r="BM24" s="11"/>
    </row>
    <row r="25" spans="1:65" x14ac:dyDescent="0.25">
      <c r="A25" s="7" t="s">
        <v>66</v>
      </c>
      <c r="B25" s="8" t="s">
        <v>67</v>
      </c>
      <c r="C25" s="9">
        <v>9013</v>
      </c>
      <c r="D25" s="9">
        <v>9660</v>
      </c>
      <c r="E25" s="9">
        <v>10403</v>
      </c>
      <c r="F25" s="9">
        <v>10739</v>
      </c>
      <c r="G25" s="9">
        <v>10931</v>
      </c>
      <c r="H25" s="9">
        <v>11841</v>
      </c>
      <c r="I25" s="9">
        <v>12444</v>
      </c>
      <c r="J25" s="9">
        <v>12135</v>
      </c>
      <c r="K25" s="9">
        <v>14233</v>
      </c>
      <c r="L25" s="9">
        <v>16873</v>
      </c>
      <c r="M25" s="9">
        <v>15777.561</v>
      </c>
      <c r="N25" s="9">
        <v>14873.104000000001</v>
      </c>
      <c r="O25" s="9">
        <v>16656</v>
      </c>
      <c r="P25" s="9"/>
      <c r="Q25" s="9">
        <v>1281</v>
      </c>
      <c r="R25" s="9">
        <v>1278</v>
      </c>
      <c r="S25" s="9">
        <v>1455</v>
      </c>
      <c r="T25" s="9">
        <v>1473</v>
      </c>
      <c r="U25" s="9">
        <v>1205</v>
      </c>
      <c r="V25" s="9">
        <v>1257</v>
      </c>
      <c r="W25" s="9">
        <v>1621</v>
      </c>
      <c r="X25" s="9">
        <v>1539</v>
      </c>
      <c r="Y25" s="9">
        <v>2258</v>
      </c>
      <c r="Z25" s="9">
        <v>2823</v>
      </c>
      <c r="AA25" s="9">
        <v>2928.9209999999998</v>
      </c>
      <c r="AB25" s="9">
        <v>3171</v>
      </c>
      <c r="AC25" s="9">
        <v>3192</v>
      </c>
      <c r="AD25" s="9"/>
      <c r="AE25" s="9">
        <v>4760</v>
      </c>
      <c r="AF25" s="9">
        <v>5043</v>
      </c>
      <c r="AG25" s="9">
        <v>5131</v>
      </c>
      <c r="AH25" s="9">
        <v>5233</v>
      </c>
      <c r="AI25" s="9">
        <v>5405</v>
      </c>
      <c r="AJ25" s="9">
        <v>5453</v>
      </c>
      <c r="AK25" s="9">
        <v>5762</v>
      </c>
      <c r="AL25" s="9">
        <v>5746</v>
      </c>
      <c r="AM25" s="9">
        <v>6169</v>
      </c>
      <c r="AN25" s="9">
        <v>6644</v>
      </c>
      <c r="AO25" s="9">
        <v>7446.4430000000002</v>
      </c>
      <c r="AP25" s="9">
        <v>7546</v>
      </c>
      <c r="AQ25" s="9">
        <v>7436</v>
      </c>
      <c r="AR25" s="9"/>
      <c r="AS25" s="9"/>
      <c r="AT25" s="9">
        <f>17147+798</f>
        <v>17945</v>
      </c>
      <c r="AU25" s="9">
        <f>18554+721</f>
        <v>19275</v>
      </c>
      <c r="AV25" s="9">
        <f>19587+753</f>
        <v>20340</v>
      </c>
      <c r="AW25" s="9">
        <f>20110+779</f>
        <v>20889</v>
      </c>
      <c r="AX25" s="9">
        <f>20233+819</f>
        <v>21052</v>
      </c>
      <c r="AY25" s="9">
        <f>21248+814</f>
        <v>22062</v>
      </c>
      <c r="AZ25" s="9">
        <f>22600+879</f>
        <v>23479</v>
      </c>
      <c r="BA25" s="9">
        <f>22077+817</f>
        <v>22894</v>
      </c>
      <c r="BB25" s="9">
        <f>25660+922</f>
        <v>26582</v>
      </c>
      <c r="BC25" s="9">
        <f>29390+927</f>
        <v>30317</v>
      </c>
      <c r="BD25" s="9">
        <f>29139+1346</f>
        <v>30485</v>
      </c>
      <c r="BE25" s="9">
        <f>28562+1747</f>
        <v>30309</v>
      </c>
      <c r="BF25" s="9">
        <f>30365+1616</f>
        <v>31981</v>
      </c>
      <c r="BH25" s="8"/>
      <c r="BI25" s="11"/>
      <c r="BM25" s="11"/>
    </row>
    <row r="26" spans="1:65" x14ac:dyDescent="0.25">
      <c r="A26" s="7" t="s">
        <v>68</v>
      </c>
      <c r="B26" s="8" t="s">
        <v>69</v>
      </c>
      <c r="C26" s="9">
        <v>1650.1</v>
      </c>
      <c r="D26" s="9">
        <v>1666.8</v>
      </c>
      <c r="E26" s="9">
        <v>1743.4</v>
      </c>
      <c r="F26" s="9">
        <v>1769.4</v>
      </c>
      <c r="G26" s="9">
        <v>1781.7</v>
      </c>
      <c r="H26" s="9">
        <v>1826.6</v>
      </c>
      <c r="I26" s="9">
        <v>1898.059305</v>
      </c>
      <c r="J26" s="9">
        <v>1819.6103330000001</v>
      </c>
      <c r="K26" s="9">
        <v>2226.1999999999998</v>
      </c>
      <c r="L26" s="9">
        <v>2499.6</v>
      </c>
      <c r="M26" s="9">
        <v>2388.3696970000001</v>
      </c>
      <c r="N26" s="9">
        <v>2246.5463049999998</v>
      </c>
      <c r="O26" s="9">
        <v>2281.224393</v>
      </c>
      <c r="P26" s="9"/>
      <c r="Q26" s="9">
        <v>524.1</v>
      </c>
      <c r="R26" s="9">
        <v>677</v>
      </c>
      <c r="S26" s="9">
        <v>714.1</v>
      </c>
      <c r="T26" s="9">
        <v>596.29999999999995</v>
      </c>
      <c r="U26" s="9">
        <v>564</v>
      </c>
      <c r="V26" s="9">
        <v>572.29999999999995</v>
      </c>
      <c r="W26" s="9">
        <v>643.65377100000001</v>
      </c>
      <c r="X26" s="9">
        <v>548.72882900000002</v>
      </c>
      <c r="Y26" s="9">
        <v>845.1</v>
      </c>
      <c r="Z26" s="9">
        <v>854.6</v>
      </c>
      <c r="AA26" s="9">
        <v>1037.22389</v>
      </c>
      <c r="AB26" s="9">
        <v>967.75673099999995</v>
      </c>
      <c r="AC26" s="9">
        <v>735.24867099999994</v>
      </c>
      <c r="AD26" s="9"/>
      <c r="AE26" s="9">
        <v>2144.6</v>
      </c>
      <c r="AF26" s="9">
        <v>2201.4</v>
      </c>
      <c r="AG26" s="9">
        <v>2260.8000000000002</v>
      </c>
      <c r="AH26" s="9">
        <v>2300.4</v>
      </c>
      <c r="AI26" s="9">
        <v>2289.2999999999997</v>
      </c>
      <c r="AJ26" s="9">
        <v>2340.4</v>
      </c>
      <c r="AK26" s="9">
        <f>(2138037754+326412860)/1000000</f>
        <v>2464.4506139999999</v>
      </c>
      <c r="AL26" s="9">
        <f>2156.1+339.9</f>
        <v>2496</v>
      </c>
      <c r="AM26" s="9">
        <f>2244.4+408.8</f>
        <v>2653.2000000000003</v>
      </c>
      <c r="AN26" s="9">
        <f>2553.65323+428.957748</f>
        <v>2982.6109779999997</v>
      </c>
      <c r="AO26" s="9">
        <f>2734.066955+388.99789</f>
        <v>3123.0648449999999</v>
      </c>
      <c r="AP26" s="9">
        <f>2815.901977+407.942563</f>
        <v>3223.8445400000001</v>
      </c>
      <c r="AQ26" s="9">
        <f>2865.863821+439.92553</f>
        <v>3305.7893509999999</v>
      </c>
      <c r="AR26" s="9"/>
      <c r="AS26" s="9"/>
      <c r="AT26" s="9">
        <v>5118.6000000000004</v>
      </c>
      <c r="AU26" s="9">
        <v>5403</v>
      </c>
      <c r="AV26" s="9">
        <v>5536.5</v>
      </c>
      <c r="AW26" s="9">
        <v>5686.7</v>
      </c>
      <c r="AX26" s="9">
        <v>5653.9</v>
      </c>
      <c r="AY26" s="9">
        <v>5691.8</v>
      </c>
      <c r="AZ26" s="9">
        <v>5967.8</v>
      </c>
      <c r="BA26" s="9">
        <v>5817.1</v>
      </c>
      <c r="BB26" s="9">
        <v>6741.3</v>
      </c>
      <c r="BC26" s="9">
        <v>7386.7</v>
      </c>
      <c r="BD26" s="9">
        <v>7694.1020580000004</v>
      </c>
      <c r="BE26" s="9">
        <v>7707.1054469999999</v>
      </c>
      <c r="BF26" s="9">
        <v>7642.7386079999997</v>
      </c>
      <c r="BH26" s="8"/>
      <c r="BI26" s="11"/>
      <c r="BM26" s="11"/>
    </row>
    <row r="27" spans="1:65" x14ac:dyDescent="0.25">
      <c r="A27" s="14" t="s">
        <v>70</v>
      </c>
      <c r="B27" s="8" t="s">
        <v>71</v>
      </c>
      <c r="C27" s="9">
        <v>6367.971141</v>
      </c>
      <c r="D27" s="9">
        <v>6352.5192340000003</v>
      </c>
      <c r="E27" s="9">
        <v>6890.8156250000002</v>
      </c>
      <c r="F27" s="9">
        <v>7158.2408660000001</v>
      </c>
      <c r="G27" s="9">
        <v>7320.5998069999996</v>
      </c>
      <c r="H27" s="9">
        <v>7728.4790800000001</v>
      </c>
      <c r="I27" s="9">
        <v>7646.9413709999999</v>
      </c>
      <c r="J27" s="9">
        <v>6952.200245</v>
      </c>
      <c r="K27" s="9">
        <v>8916.2317800000001</v>
      </c>
      <c r="L27" s="9">
        <v>9971.4964240000008</v>
      </c>
      <c r="M27" s="9">
        <v>9984.7431209999995</v>
      </c>
      <c r="N27" s="9">
        <f>9048.94027599+746.4212</f>
        <v>9795.3614759900011</v>
      </c>
      <c r="O27" s="9">
        <f>(9165090388+718611242)/1000000</f>
        <v>9883.7016299999996</v>
      </c>
      <c r="P27" s="9"/>
      <c r="Q27" s="9">
        <v>525.67899399999999</v>
      </c>
      <c r="R27" s="9">
        <v>540.71550500000001</v>
      </c>
      <c r="S27" s="9">
        <v>558.62912800000004</v>
      </c>
      <c r="T27" s="9">
        <v>468.28902299999999</v>
      </c>
      <c r="U27" s="9">
        <v>435.09775300000001</v>
      </c>
      <c r="V27" s="9">
        <v>461.71240299999999</v>
      </c>
      <c r="W27" s="9">
        <v>526.56630600000005</v>
      </c>
      <c r="X27" s="9">
        <v>463.130899</v>
      </c>
      <c r="Y27" s="9">
        <v>797.10994900000003</v>
      </c>
      <c r="Z27" s="9">
        <v>909.67161499999997</v>
      </c>
      <c r="AA27" s="9">
        <v>1058.8397580000001</v>
      </c>
      <c r="AB27" s="9">
        <v>1050.71028389</v>
      </c>
      <c r="AC27" s="9">
        <v>994.17233499999998</v>
      </c>
      <c r="AD27" s="9"/>
      <c r="AE27" s="9">
        <v>1897.543412</v>
      </c>
      <c r="AF27" s="9">
        <v>1969.3862509999999</v>
      </c>
      <c r="AG27" s="9">
        <v>2014.363065</v>
      </c>
      <c r="AH27" s="9">
        <v>2102.6336609999998</v>
      </c>
      <c r="AI27" s="9">
        <v>2147.141091</v>
      </c>
      <c r="AJ27" s="9">
        <v>2196.6737429999998</v>
      </c>
      <c r="AK27" s="9">
        <v>2237.1495789999999</v>
      </c>
      <c r="AL27" s="9">
        <v>2276.3901270000001</v>
      </c>
      <c r="AM27" s="9">
        <v>2428.8572170000002</v>
      </c>
      <c r="AN27" s="9">
        <v>2746.8829030000002</v>
      </c>
      <c r="AO27" s="9">
        <v>2943.6497789999999</v>
      </c>
      <c r="AP27" s="9">
        <v>3184.1042924200001</v>
      </c>
      <c r="AQ27" s="9">
        <v>3223.3634069999998</v>
      </c>
      <c r="AR27" s="9"/>
      <c r="AS27" s="9"/>
      <c r="AT27" s="9">
        <v>8082.6865690000004</v>
      </c>
      <c r="AU27" s="9">
        <v>8003.2897419999999</v>
      </c>
      <c r="AV27" s="9">
        <v>8709.1671480000005</v>
      </c>
      <c r="AW27" s="9">
        <v>8786.7730950000005</v>
      </c>
      <c r="AX27" s="9">
        <v>9016.2417960000002</v>
      </c>
      <c r="AY27" s="9">
        <v>9468.5806570000004</v>
      </c>
      <c r="AZ27" s="9">
        <v>9567.3559010000008</v>
      </c>
      <c r="BA27" s="9">
        <v>8933.5196169999999</v>
      </c>
      <c r="BB27" s="9">
        <v>11239.918179</v>
      </c>
      <c r="BC27" s="9">
        <v>12881.026519999999</v>
      </c>
      <c r="BD27" s="9">
        <v>13234.562878999999</v>
      </c>
      <c r="BE27" s="9">
        <v>13429.144</v>
      </c>
      <c r="BF27" s="9">
        <v>13430.978644999999</v>
      </c>
      <c r="BH27" s="8"/>
      <c r="BI27" s="11"/>
      <c r="BM27" s="11"/>
    </row>
    <row r="28" spans="1:65" x14ac:dyDescent="0.25">
      <c r="A28" s="7" t="s">
        <v>72</v>
      </c>
      <c r="B28" s="8" t="s">
        <v>73</v>
      </c>
      <c r="C28" s="9">
        <v>1047.79</v>
      </c>
      <c r="D28" s="9">
        <v>1063.2840000000001</v>
      </c>
      <c r="E28" s="9">
        <v>1175.7449999999999</v>
      </c>
      <c r="F28" s="9">
        <v>1184.8277615</v>
      </c>
      <c r="G28" s="9">
        <v>1168.2249999999999</v>
      </c>
      <c r="H28" s="9">
        <v>1297.777</v>
      </c>
      <c r="I28" s="9">
        <v>1429.01</v>
      </c>
      <c r="J28" s="9">
        <v>1435.24</v>
      </c>
      <c r="K28" s="9">
        <v>1765.4</v>
      </c>
      <c r="L28" s="9">
        <v>2393.8069999999998</v>
      </c>
      <c r="M28" s="9">
        <v>2254.3050632300001</v>
      </c>
      <c r="N28" s="9">
        <v>2243.9463236199999</v>
      </c>
      <c r="O28" s="9">
        <v>2329.58</v>
      </c>
      <c r="P28" s="9"/>
      <c r="Q28" s="9">
        <v>177.49700000000001</v>
      </c>
      <c r="R28" s="9">
        <v>147.548</v>
      </c>
      <c r="S28" s="9">
        <v>172.72900000000001</v>
      </c>
      <c r="T28" s="9">
        <v>118.387</v>
      </c>
      <c r="U28" s="9">
        <v>133.99199999999999</v>
      </c>
      <c r="V28" s="9">
        <v>167.1</v>
      </c>
      <c r="W28" s="9">
        <v>186.536</v>
      </c>
      <c r="X28" s="9">
        <v>187.358</v>
      </c>
      <c r="Y28" s="9">
        <v>266.5</v>
      </c>
      <c r="Z28" s="9">
        <v>293.68299999999999</v>
      </c>
      <c r="AA28" s="9">
        <v>309.88362231000002</v>
      </c>
      <c r="AB28" s="9">
        <v>312.27636295999997</v>
      </c>
      <c r="AC28" s="9">
        <v>321.20800000000003</v>
      </c>
      <c r="AD28" s="9"/>
      <c r="AE28" s="9" t="s">
        <v>24</v>
      </c>
      <c r="AF28" s="9" t="s">
        <v>24</v>
      </c>
      <c r="AG28" s="9" t="s">
        <v>24</v>
      </c>
      <c r="AH28" s="9" t="s">
        <v>24</v>
      </c>
      <c r="AI28" s="9" t="s">
        <v>24</v>
      </c>
      <c r="AJ28" s="9" t="s">
        <v>24</v>
      </c>
      <c r="AK28" s="9" t="s">
        <v>24</v>
      </c>
      <c r="AL28" s="9" t="s">
        <v>24</v>
      </c>
      <c r="AM28" s="9" t="s">
        <v>24</v>
      </c>
      <c r="AN28" s="9" t="s">
        <v>24</v>
      </c>
      <c r="AO28" s="9" t="s">
        <v>24</v>
      </c>
      <c r="AP28" s="9" t="s">
        <v>24</v>
      </c>
      <c r="AQ28" s="9" t="s">
        <v>24</v>
      </c>
      <c r="AR28" s="9"/>
      <c r="AS28" s="9"/>
      <c r="AT28" s="9">
        <v>2078</v>
      </c>
      <c r="AU28" s="9">
        <v>2077.0439999999999</v>
      </c>
      <c r="AV28" s="9">
        <v>2200</v>
      </c>
      <c r="AW28" s="9">
        <v>2121</v>
      </c>
      <c r="AX28" s="9">
        <v>2141</v>
      </c>
      <c r="AY28" s="9">
        <v>2405.4470000000001</v>
      </c>
      <c r="AZ28" s="9">
        <v>2572.6289999999999</v>
      </c>
      <c r="BA28" s="9">
        <v>2533.3209999999999</v>
      </c>
      <c r="BB28" s="9">
        <v>2963.8466976600002</v>
      </c>
      <c r="BC28" s="9">
        <v>3891.6401688699998</v>
      </c>
      <c r="BD28" s="13">
        <v>3687.7434476399994</v>
      </c>
      <c r="BE28" s="9">
        <v>3916.9224208600003</v>
      </c>
      <c r="BF28" s="9">
        <v>4034.3690000000001</v>
      </c>
      <c r="BH28" s="8"/>
      <c r="BI28" s="11"/>
      <c r="BM28" s="11"/>
    </row>
    <row r="29" spans="1:65" x14ac:dyDescent="0.25">
      <c r="A29" s="7" t="s">
        <v>74</v>
      </c>
      <c r="B29" s="8" t="s">
        <v>75</v>
      </c>
      <c r="C29" s="9">
        <v>2101.912041</v>
      </c>
      <c r="D29" s="9">
        <v>2060.7588959999998</v>
      </c>
      <c r="E29" s="9">
        <v>2205.4639029999998</v>
      </c>
      <c r="F29" s="9">
        <v>2221.0888169999998</v>
      </c>
      <c r="G29" s="9">
        <v>2224.8400529999999</v>
      </c>
      <c r="H29" s="9">
        <v>2360.5959349999998</v>
      </c>
      <c r="I29" s="9">
        <v>2545.6800389999999</v>
      </c>
      <c r="J29" s="9">
        <v>2445.647485</v>
      </c>
      <c r="K29" s="9">
        <v>3130.5993239999998</v>
      </c>
      <c r="L29" s="9">
        <v>3243.2375929999998</v>
      </c>
      <c r="M29" s="9">
        <v>3005.9520590000002</v>
      </c>
      <c r="N29" s="9">
        <v>2479.0541859999998</v>
      </c>
      <c r="O29" s="9">
        <v>2179.9338889999999</v>
      </c>
      <c r="P29" s="9"/>
      <c r="Q29" s="9">
        <v>275.56299000000001</v>
      </c>
      <c r="R29" s="9">
        <v>306.591027</v>
      </c>
      <c r="S29" s="9">
        <v>346.47737799999999</v>
      </c>
      <c r="T29" s="9">
        <v>307.66969399999999</v>
      </c>
      <c r="U29" s="9">
        <v>264.43971299999998</v>
      </c>
      <c r="V29" s="9">
        <v>313.68952100000001</v>
      </c>
      <c r="W29" s="9">
        <v>423.737571</v>
      </c>
      <c r="X29" s="9">
        <v>391.16375199999999</v>
      </c>
      <c r="Y29" s="9">
        <v>571.22032400000001</v>
      </c>
      <c r="Z29" s="9">
        <v>715.152736</v>
      </c>
      <c r="AA29" s="9">
        <v>692.96473000000003</v>
      </c>
      <c r="AB29" s="9">
        <v>1724.9081349999999</v>
      </c>
      <c r="AC29" s="9">
        <v>1075.0850780000001</v>
      </c>
      <c r="AD29" s="9"/>
      <c r="AE29" s="9">
        <v>1474.9426410000001</v>
      </c>
      <c r="AF29" s="9">
        <v>1524.7937629999999</v>
      </c>
      <c r="AG29" s="9">
        <v>1535.4195159999999</v>
      </c>
      <c r="AH29" s="9">
        <v>1528.02331</v>
      </c>
      <c r="AI29" s="9">
        <v>1548.3888480000001</v>
      </c>
      <c r="AJ29" s="9">
        <v>1602.7373580000001</v>
      </c>
      <c r="AK29" s="9">
        <v>1658.1071340000001</v>
      </c>
      <c r="AL29" s="9">
        <v>1848.235958</v>
      </c>
      <c r="AM29" s="9">
        <v>2009.74827</v>
      </c>
      <c r="AN29" s="9">
        <v>2133.1520810000002</v>
      </c>
      <c r="AO29" s="9">
        <v>2335.8999359999998</v>
      </c>
      <c r="AP29" s="9">
        <v>2458.8340680000001</v>
      </c>
      <c r="AQ29" s="9">
        <v>2516.7441990000002</v>
      </c>
      <c r="AR29" s="9"/>
      <c r="AS29" s="9"/>
      <c r="AT29" s="9">
        <v>4052.3586100000002</v>
      </c>
      <c r="AU29" s="9">
        <v>4117.4082319999998</v>
      </c>
      <c r="AV29" s="9">
        <v>4305.0993259999996</v>
      </c>
      <c r="AW29" s="9">
        <v>4307.9812750000001</v>
      </c>
      <c r="AX29" s="9">
        <v>4265.7719450000004</v>
      </c>
      <c r="AY29" s="9">
        <v>4566.9957729999996</v>
      </c>
      <c r="AZ29" s="9">
        <v>4896.3785209999996</v>
      </c>
      <c r="BA29" s="9">
        <v>4939.7626110000001</v>
      </c>
      <c r="BB29" s="9">
        <v>5959.0424290000001</v>
      </c>
      <c r="BC29" s="9">
        <v>6348.994702</v>
      </c>
      <c r="BD29" s="9">
        <v>6367.9824920000001</v>
      </c>
      <c r="BE29" s="9">
        <v>7155.8105800000003</v>
      </c>
      <c r="BF29" s="9">
        <v>6159.0416619999996</v>
      </c>
      <c r="BH29" s="8"/>
      <c r="BI29" s="11"/>
      <c r="BM29" s="11"/>
    </row>
    <row r="30" spans="1:65" x14ac:dyDescent="0.25">
      <c r="A30" s="7" t="s">
        <v>76</v>
      </c>
      <c r="B30" s="8" t="s">
        <v>77</v>
      </c>
      <c r="C30" s="9" t="s">
        <v>24</v>
      </c>
      <c r="D30" s="9" t="s">
        <v>24</v>
      </c>
      <c r="E30" s="9" t="s">
        <v>24</v>
      </c>
      <c r="F30" s="9" t="s">
        <v>24</v>
      </c>
      <c r="G30" s="9" t="s">
        <v>24</v>
      </c>
      <c r="H30" s="9" t="s">
        <v>24</v>
      </c>
      <c r="I30" s="9" t="s">
        <v>24</v>
      </c>
      <c r="J30" s="9" t="s">
        <v>24</v>
      </c>
      <c r="K30" s="9" t="s">
        <v>24</v>
      </c>
      <c r="L30" s="9" t="s">
        <v>24</v>
      </c>
      <c r="M30" s="9" t="s">
        <v>24</v>
      </c>
      <c r="N30" s="9" t="s">
        <v>24</v>
      </c>
      <c r="O30" s="9"/>
      <c r="P30" s="9"/>
      <c r="Q30" s="9" t="s">
        <v>24</v>
      </c>
      <c r="R30" s="9" t="s">
        <v>24</v>
      </c>
      <c r="S30" s="9" t="s">
        <v>24</v>
      </c>
      <c r="T30" s="9" t="s">
        <v>24</v>
      </c>
      <c r="U30" s="9" t="s">
        <v>24</v>
      </c>
      <c r="V30" s="9" t="s">
        <v>24</v>
      </c>
      <c r="W30" s="9" t="s">
        <v>24</v>
      </c>
      <c r="X30" s="9" t="s">
        <v>24</v>
      </c>
      <c r="Y30" s="9" t="s">
        <v>24</v>
      </c>
      <c r="Z30" s="9" t="s">
        <v>24</v>
      </c>
      <c r="AA30" s="9" t="s">
        <v>24</v>
      </c>
      <c r="AB30" s="9" t="s">
        <v>24</v>
      </c>
      <c r="AC30" s="9"/>
      <c r="AD30" s="9"/>
      <c r="AE30" s="9">
        <v>888.65896399999997</v>
      </c>
      <c r="AF30" s="9">
        <v>931.31968700000004</v>
      </c>
      <c r="AG30" s="9">
        <v>994.76496999999995</v>
      </c>
      <c r="AH30" s="9">
        <v>1036.549227</v>
      </c>
      <c r="AI30" s="9">
        <v>1090.6953559999999</v>
      </c>
      <c r="AJ30" s="9">
        <v>1142.7997660000001</v>
      </c>
      <c r="AK30" s="9">
        <v>1235.1242789999999</v>
      </c>
      <c r="AL30" s="9">
        <v>1214.701337</v>
      </c>
      <c r="AM30" s="9">
        <v>1325.814026</v>
      </c>
      <c r="AN30" s="9">
        <v>1613.3417810000001</v>
      </c>
      <c r="AO30" s="9">
        <v>1721.54393</v>
      </c>
      <c r="AP30" s="9">
        <v>1790.433565</v>
      </c>
      <c r="AQ30" s="9"/>
      <c r="AR30" s="9"/>
      <c r="AS30" s="9"/>
      <c r="AT30" s="9">
        <v>3132.6017609999999</v>
      </c>
      <c r="AU30" s="9">
        <v>3066.9463599999999</v>
      </c>
      <c r="AV30" s="9">
        <v>3284.4826990000001</v>
      </c>
      <c r="AW30" s="9">
        <v>3693.842787</v>
      </c>
      <c r="AX30" s="9">
        <v>3880.5062079999998</v>
      </c>
      <c r="AY30" s="9">
        <v>4018.711456</v>
      </c>
      <c r="AZ30" s="9">
        <v>4287.5041940000001</v>
      </c>
      <c r="BA30" s="9">
        <v>4077.2473399999999</v>
      </c>
      <c r="BB30" s="9">
        <v>4474.3</v>
      </c>
      <c r="BC30" s="9">
        <v>5439.3351050000001</v>
      </c>
      <c r="BD30" s="9">
        <v>5762.480775</v>
      </c>
      <c r="BE30" s="9">
        <v>6009.7865019999999</v>
      </c>
      <c r="BF30" s="18"/>
      <c r="BH30" s="8"/>
      <c r="BI30" s="11"/>
      <c r="BM30" s="11"/>
    </row>
    <row r="31" spans="1:65" x14ac:dyDescent="0.25">
      <c r="A31" s="7" t="s">
        <v>78</v>
      </c>
      <c r="B31" s="8" t="s">
        <v>79</v>
      </c>
      <c r="C31" s="9">
        <v>92.974000000000004</v>
      </c>
      <c r="D31" s="9">
        <v>79.811000000000007</v>
      </c>
      <c r="E31" s="9">
        <v>96.861000000000004</v>
      </c>
      <c r="F31" s="9">
        <v>89.265000000000001</v>
      </c>
      <c r="G31" s="9">
        <v>94.287000000000006</v>
      </c>
      <c r="H31" s="9">
        <v>105.82599999999999</v>
      </c>
      <c r="I31" s="9">
        <v>114.68</v>
      </c>
      <c r="J31" s="9">
        <v>125.7</v>
      </c>
      <c r="K31" s="9">
        <v>120.7</v>
      </c>
      <c r="L31" s="9">
        <v>157.5</v>
      </c>
      <c r="M31" s="9">
        <v>147.30000000000001</v>
      </c>
      <c r="N31" s="9">
        <v>184.6</v>
      </c>
      <c r="O31" s="9">
        <v>72.7</v>
      </c>
      <c r="P31" s="9"/>
      <c r="Q31" s="9">
        <v>551.79999999999995</v>
      </c>
      <c r="R31" s="9">
        <v>549.6</v>
      </c>
      <c r="S31" s="9">
        <v>561.70000000000005</v>
      </c>
      <c r="T31" s="9">
        <v>699.3</v>
      </c>
      <c r="U31" s="9">
        <v>637.79999999999995</v>
      </c>
      <c r="V31" s="9">
        <v>781.1</v>
      </c>
      <c r="W31" s="9">
        <v>805.6</v>
      </c>
      <c r="X31" s="9">
        <v>709.8</v>
      </c>
      <c r="Y31" s="9">
        <v>1003.2</v>
      </c>
      <c r="Z31" s="9">
        <v>1224</v>
      </c>
      <c r="AA31" s="9">
        <v>1258.9000000000001</v>
      </c>
      <c r="AB31" s="9">
        <v>1225.7</v>
      </c>
      <c r="AC31" s="9">
        <v>1095.5999999999999</v>
      </c>
      <c r="AD31" s="9"/>
      <c r="AE31" s="9" t="s">
        <v>24</v>
      </c>
      <c r="AF31" s="9" t="s">
        <v>24</v>
      </c>
      <c r="AG31" s="9" t="s">
        <v>24</v>
      </c>
      <c r="AH31" s="9" t="s">
        <v>24</v>
      </c>
      <c r="AI31" s="9" t="s">
        <v>24</v>
      </c>
      <c r="AJ31" s="9" t="s">
        <v>24</v>
      </c>
      <c r="AK31" s="9" t="s">
        <v>24</v>
      </c>
      <c r="AL31" s="9" t="s">
        <v>24</v>
      </c>
      <c r="AM31" s="9" t="s">
        <v>24</v>
      </c>
      <c r="AN31" s="9" t="s">
        <v>24</v>
      </c>
      <c r="AO31" s="9" t="s">
        <v>24</v>
      </c>
      <c r="AP31" s="9" t="s">
        <v>24</v>
      </c>
      <c r="AQ31" s="9" t="s">
        <v>24</v>
      </c>
      <c r="AR31" s="9"/>
      <c r="AS31" s="9"/>
      <c r="AT31" s="9">
        <v>2275.6</v>
      </c>
      <c r="AU31" s="9">
        <v>2173.1999999999998</v>
      </c>
      <c r="AV31" s="9">
        <v>2266.6999999999998</v>
      </c>
      <c r="AW31" s="9">
        <v>2457.6</v>
      </c>
      <c r="AX31" s="9">
        <v>2407.5</v>
      </c>
      <c r="AY31" s="9">
        <v>2577.1999999999998</v>
      </c>
      <c r="AZ31" s="9">
        <v>2644.6</v>
      </c>
      <c r="BA31" s="9">
        <v>2520.1999999999998</v>
      </c>
      <c r="BB31" s="9">
        <v>2979.7</v>
      </c>
      <c r="BC31" s="9">
        <v>3234.4</v>
      </c>
      <c r="BD31" s="9">
        <v>3218.5</v>
      </c>
      <c r="BE31" s="9">
        <v>3332</v>
      </c>
      <c r="BF31" s="9">
        <v>3101.1</v>
      </c>
      <c r="BH31" s="8"/>
      <c r="BI31" s="11"/>
      <c r="BM31" s="11"/>
    </row>
    <row r="32" spans="1:65" x14ac:dyDescent="0.25">
      <c r="A32" s="7" t="s">
        <v>80</v>
      </c>
      <c r="B32" s="8" t="s">
        <v>81</v>
      </c>
      <c r="C32" s="9">
        <v>12108.6</v>
      </c>
      <c r="D32" s="9">
        <v>12311.7</v>
      </c>
      <c r="E32" s="9">
        <v>13250</v>
      </c>
      <c r="F32" s="9">
        <v>13355.992</v>
      </c>
      <c r="G32" s="9">
        <v>13958.119000000001</v>
      </c>
      <c r="H32" s="9">
        <v>15037.843999999999</v>
      </c>
      <c r="I32" s="9">
        <v>15903.3</v>
      </c>
      <c r="J32" s="9">
        <v>16253.7</v>
      </c>
      <c r="K32" s="9">
        <v>17469.900000000001</v>
      </c>
      <c r="L32" s="9">
        <v>20737.5</v>
      </c>
      <c r="M32" s="9">
        <v>18798.700879</v>
      </c>
      <c r="N32" s="9">
        <v>18880.483830000001</v>
      </c>
      <c r="O32" s="9"/>
      <c r="P32" s="9"/>
      <c r="Q32" s="9">
        <v>2364</v>
      </c>
      <c r="R32" s="9">
        <v>2101</v>
      </c>
      <c r="S32" s="9">
        <v>2655</v>
      </c>
      <c r="T32" s="9">
        <v>2295.3780000000002</v>
      </c>
      <c r="U32" s="9">
        <v>2141.5079999999998</v>
      </c>
      <c r="V32" s="9">
        <v>2315.529</v>
      </c>
      <c r="W32" s="9">
        <v>4029</v>
      </c>
      <c r="X32" s="9">
        <v>3807.9343990000002</v>
      </c>
      <c r="Y32" s="9">
        <v>4884.5</v>
      </c>
      <c r="Z32" s="9">
        <v>5705.2810630000004</v>
      </c>
      <c r="AA32" s="9">
        <v>5512.7339169999996</v>
      </c>
      <c r="AB32" s="9">
        <v>4703.4640680000002</v>
      </c>
      <c r="AC32" s="9"/>
      <c r="AD32" s="9"/>
      <c r="AE32" s="9">
        <v>8235</v>
      </c>
      <c r="AF32" s="9">
        <v>8640</v>
      </c>
      <c r="AG32" s="9">
        <v>8875</v>
      </c>
      <c r="AH32" s="9">
        <v>9203.3410000000003</v>
      </c>
      <c r="AI32" s="9">
        <v>9448.39</v>
      </c>
      <c r="AJ32" s="9">
        <v>9619.1509999999998</v>
      </c>
      <c r="AK32" s="9">
        <v>9939</v>
      </c>
      <c r="AL32" s="9">
        <v>9772.1042350000007</v>
      </c>
      <c r="AM32" s="9">
        <v>11275.5</v>
      </c>
      <c r="AN32" s="9">
        <v>12525.218772</v>
      </c>
      <c r="AO32" s="9">
        <v>13079.430767</v>
      </c>
      <c r="AP32" s="9">
        <v>13292.491642999999</v>
      </c>
      <c r="AQ32" s="9"/>
      <c r="AR32" s="9"/>
      <c r="AS32" s="9"/>
      <c r="AT32" s="9">
        <v>30924.1</v>
      </c>
      <c r="AU32" s="9">
        <v>31347.7</v>
      </c>
      <c r="AV32" s="9">
        <v>33097.199999999997</v>
      </c>
      <c r="AW32" s="9">
        <v>32872.6</v>
      </c>
      <c r="AX32" s="9">
        <v>34120.9</v>
      </c>
      <c r="AY32" s="9">
        <v>35785.9</v>
      </c>
      <c r="AZ32" s="9">
        <v>38316.199999999997</v>
      </c>
      <c r="BA32" s="9">
        <v>38013.199999999997</v>
      </c>
      <c r="BB32" s="9">
        <v>48553</v>
      </c>
      <c r="BC32" s="10">
        <v>52653</v>
      </c>
      <c r="BD32" s="10">
        <v>52099.5</v>
      </c>
      <c r="BE32" s="10">
        <v>53087</v>
      </c>
      <c r="BF32" s="18"/>
      <c r="BH32" s="8"/>
      <c r="BI32" s="11"/>
      <c r="BM32" s="11"/>
    </row>
    <row r="33" spans="1:65" x14ac:dyDescent="0.25">
      <c r="A33" s="7" t="s">
        <v>82</v>
      </c>
      <c r="B33" s="8" t="s">
        <v>83</v>
      </c>
      <c r="C33" s="19">
        <v>1240.9453393899998</v>
      </c>
      <c r="D33" s="19">
        <v>1254.9396116199998</v>
      </c>
      <c r="E33" s="19">
        <v>1339.71150369</v>
      </c>
      <c r="F33" s="19">
        <v>1327.2075044999999</v>
      </c>
      <c r="G33" s="19">
        <v>1380.6752153</v>
      </c>
      <c r="H33" s="19">
        <v>1519</v>
      </c>
      <c r="I33" s="9">
        <v>1672</v>
      </c>
      <c r="J33" s="9">
        <v>1691.9</v>
      </c>
      <c r="K33" s="9">
        <v>1904.1</v>
      </c>
      <c r="L33" s="9">
        <v>2327.6</v>
      </c>
      <c r="M33" s="9">
        <v>2514.6999999999998</v>
      </c>
      <c r="N33" s="9">
        <v>2207.6</v>
      </c>
      <c r="O33" s="9">
        <v>2143.1</v>
      </c>
      <c r="P33" s="19"/>
      <c r="Q33" s="19">
        <v>267.15696794999997</v>
      </c>
      <c r="R33" s="19">
        <v>196.76187657999998</v>
      </c>
      <c r="S33" s="19">
        <v>254.47677972000002</v>
      </c>
      <c r="T33" s="19">
        <v>118.50192075999999</v>
      </c>
      <c r="U33" s="19">
        <v>70.155693179999986</v>
      </c>
      <c r="V33" s="9">
        <v>106.6</v>
      </c>
      <c r="W33" s="9">
        <v>122.8</v>
      </c>
      <c r="X33" s="9">
        <v>63.2</v>
      </c>
      <c r="Y33" s="9">
        <v>149.69999999999999</v>
      </c>
      <c r="Z33" s="9">
        <v>343.9</v>
      </c>
      <c r="AA33" s="9">
        <v>439.1</v>
      </c>
      <c r="AB33" s="9">
        <v>627.20000000000005</v>
      </c>
      <c r="AC33" s="9">
        <v>782.5</v>
      </c>
      <c r="AD33" s="9"/>
      <c r="AE33" s="9">
        <v>1968.5711114800001</v>
      </c>
      <c r="AF33" s="9">
        <v>2070.4042643799999</v>
      </c>
      <c r="AG33" s="9">
        <v>2166.9929141499997</v>
      </c>
      <c r="AH33" s="9">
        <v>2022.29743904</v>
      </c>
      <c r="AI33" s="9">
        <v>2062.07751379</v>
      </c>
      <c r="AJ33" s="9">
        <v>2437.1999999999998</v>
      </c>
      <c r="AK33" s="9">
        <v>2737.7</v>
      </c>
      <c r="AL33" s="9">
        <v>3005.7</v>
      </c>
      <c r="AM33" s="9">
        <v>2914.2</v>
      </c>
      <c r="AN33" s="9">
        <v>3491</v>
      </c>
      <c r="AO33" s="9">
        <v>4045.2</v>
      </c>
      <c r="AP33" s="9">
        <v>4131.8</v>
      </c>
      <c r="AQ33" s="9">
        <v>4383.5</v>
      </c>
      <c r="AR33" s="9"/>
      <c r="AS33" s="9"/>
      <c r="AT33" s="9">
        <v>5708.6</v>
      </c>
      <c r="AU33" s="9">
        <v>6040.5</v>
      </c>
      <c r="AV33" s="9">
        <v>6235.9</v>
      </c>
      <c r="AW33" s="9">
        <v>5712.1</v>
      </c>
      <c r="AX33" s="9">
        <v>6461.6</v>
      </c>
      <c r="AY33" s="9">
        <v>6881.3</v>
      </c>
      <c r="AZ33" s="19">
        <v>7910.3</v>
      </c>
      <c r="BA33" s="9">
        <v>8182.2</v>
      </c>
      <c r="BB33" s="9">
        <v>8051</v>
      </c>
      <c r="BC33" s="9">
        <v>8772.5</v>
      </c>
      <c r="BD33" s="9">
        <v>10890.1</v>
      </c>
      <c r="BE33" s="9">
        <v>13190</v>
      </c>
      <c r="BF33" s="9">
        <v>13624.1</v>
      </c>
      <c r="BH33" s="8"/>
      <c r="BI33" s="11"/>
      <c r="BM33" s="11"/>
    </row>
    <row r="34" spans="1:65" x14ac:dyDescent="0.25">
      <c r="A34" s="7" t="s">
        <v>84</v>
      </c>
      <c r="B34" s="8" t="s">
        <v>85</v>
      </c>
      <c r="C34" s="9">
        <v>40227</v>
      </c>
      <c r="D34" s="9">
        <v>42961</v>
      </c>
      <c r="E34" s="9">
        <v>43709</v>
      </c>
      <c r="F34" s="9">
        <v>47055</v>
      </c>
      <c r="G34" s="9">
        <v>47565</v>
      </c>
      <c r="H34" s="9">
        <v>51501</v>
      </c>
      <c r="I34" s="9">
        <v>48088</v>
      </c>
      <c r="J34" s="9">
        <v>53660</v>
      </c>
      <c r="K34" s="9">
        <v>54967</v>
      </c>
      <c r="L34" s="9">
        <v>70737</v>
      </c>
      <c r="M34" s="9">
        <v>58776</v>
      </c>
      <c r="N34" s="9">
        <v>53839</v>
      </c>
      <c r="O34" s="9">
        <v>61201</v>
      </c>
      <c r="P34" s="9"/>
      <c r="Q34" s="9">
        <v>8465</v>
      </c>
      <c r="R34" s="9">
        <v>8259</v>
      </c>
      <c r="S34" s="9">
        <v>8504</v>
      </c>
      <c r="T34" s="9">
        <v>7884</v>
      </c>
      <c r="U34" s="9">
        <v>6979</v>
      </c>
      <c r="V34" s="9">
        <v>7164</v>
      </c>
      <c r="W34" s="9">
        <v>7912</v>
      </c>
      <c r="X34" s="9">
        <v>8995</v>
      </c>
      <c r="Y34" s="9">
        <v>8792</v>
      </c>
      <c r="Z34" s="9">
        <v>27725</v>
      </c>
      <c r="AA34" s="9">
        <v>28617</v>
      </c>
      <c r="AB34" s="9">
        <v>27695</v>
      </c>
      <c r="AC34" s="9">
        <v>31373</v>
      </c>
      <c r="AD34" s="9"/>
      <c r="AE34" s="9">
        <v>14615</v>
      </c>
      <c r="AF34" s="9">
        <v>15099</v>
      </c>
      <c r="AG34" s="9">
        <v>15384</v>
      </c>
      <c r="AH34" s="9">
        <v>15725</v>
      </c>
      <c r="AI34" s="9">
        <v>16212</v>
      </c>
      <c r="AJ34" s="9">
        <v>16711</v>
      </c>
      <c r="AK34" s="9">
        <v>17357</v>
      </c>
      <c r="AL34" s="9">
        <v>18023</v>
      </c>
      <c r="AM34" s="9">
        <v>16117</v>
      </c>
      <c r="AN34" s="9">
        <v>19621</v>
      </c>
      <c r="AO34" s="9">
        <v>20585</v>
      </c>
      <c r="AP34" s="9">
        <v>21865</v>
      </c>
      <c r="AQ34" s="9">
        <v>22352</v>
      </c>
      <c r="AR34" s="9"/>
      <c r="AS34" s="9"/>
      <c r="AT34" s="9">
        <f>66302+24036</f>
        <v>90338</v>
      </c>
      <c r="AU34" s="9">
        <f>69690+24234</f>
        <v>93924</v>
      </c>
      <c r="AV34" s="9">
        <f>71034+29438</f>
        <v>100472</v>
      </c>
      <c r="AW34" s="9">
        <f>74673+27268</f>
        <v>101941</v>
      </c>
      <c r="AX34" s="9">
        <f>74372+26594</f>
        <v>100966</v>
      </c>
      <c r="AY34" s="9">
        <f>79266+27262</f>
        <v>106528</v>
      </c>
      <c r="AZ34" s="9">
        <f>75578+31184</f>
        <v>106762</v>
      </c>
      <c r="BA34" s="9">
        <f>82889+29466</f>
        <v>112355</v>
      </c>
      <c r="BB34" s="9">
        <f>191300-78152</f>
        <v>113148</v>
      </c>
      <c r="BC34" s="9">
        <f>244375-95307</f>
        <v>149068</v>
      </c>
      <c r="BD34" s="9">
        <f>233062-89563</f>
        <v>143499</v>
      </c>
      <c r="BE34" s="9">
        <f>234478-94276</f>
        <v>140202</v>
      </c>
      <c r="BF34" s="9">
        <f>248986-96713</f>
        <v>152273</v>
      </c>
      <c r="BH34" s="8"/>
      <c r="BI34" s="11"/>
      <c r="BM34" s="11"/>
    </row>
    <row r="35" spans="1:65" x14ac:dyDescent="0.25">
      <c r="A35" s="7" t="s">
        <v>86</v>
      </c>
      <c r="B35" s="8" t="s">
        <v>87</v>
      </c>
      <c r="C35" s="9">
        <v>10953.14</v>
      </c>
      <c r="D35" s="9">
        <v>10272.4</v>
      </c>
      <c r="E35" s="9">
        <v>11078.5</v>
      </c>
      <c r="F35" s="9">
        <v>11905.2</v>
      </c>
      <c r="G35" s="9">
        <v>11969.7</v>
      </c>
      <c r="H35" s="9">
        <v>12517.5</v>
      </c>
      <c r="I35" s="9">
        <v>13166</v>
      </c>
      <c r="J35" s="9">
        <v>12414.7</v>
      </c>
      <c r="K35" s="9">
        <v>15822.6</v>
      </c>
      <c r="L35" s="9">
        <v>17567.599999999999</v>
      </c>
      <c r="M35" s="9">
        <v>16762.5</v>
      </c>
      <c r="N35" s="9">
        <v>16562.900000000001</v>
      </c>
      <c r="O35" s="9">
        <v>17012.2</v>
      </c>
      <c r="P35" s="9"/>
      <c r="Q35" s="9">
        <f>1191.7+660.1</f>
        <v>1851.8000000000002</v>
      </c>
      <c r="R35" s="9">
        <f>1356.9+697</f>
        <v>2053.9</v>
      </c>
      <c r="S35" s="9">
        <f>1327.7+544.1</f>
        <v>1871.8000000000002</v>
      </c>
      <c r="T35" s="9">
        <f>1058.2+524.4</f>
        <v>1582.6</v>
      </c>
      <c r="U35" s="9">
        <f>752.2+748.1</f>
        <v>1500.3000000000002</v>
      </c>
      <c r="V35" s="9">
        <f>739+669</f>
        <v>1408</v>
      </c>
      <c r="W35" s="9">
        <f>830.5+749.6</f>
        <v>1580.1</v>
      </c>
      <c r="X35" s="9">
        <f>657.8+646</f>
        <v>1303.8</v>
      </c>
      <c r="Y35" s="9">
        <f>1511.5+869.8</f>
        <v>2381.3000000000002</v>
      </c>
      <c r="Z35" s="9">
        <f>1625.8+888.3</f>
        <v>2514.1</v>
      </c>
      <c r="AA35" s="9">
        <f>1635+848</f>
        <v>2483</v>
      </c>
      <c r="AB35" s="9">
        <f>1552.2+741.4</f>
        <v>2293.6</v>
      </c>
      <c r="AC35" s="9">
        <f>1569.7+  775</f>
        <v>2344.6999999999998</v>
      </c>
      <c r="AD35" s="9"/>
      <c r="AE35" s="9">
        <v>5294.2</v>
      </c>
      <c r="AF35" s="9">
        <v>5566.5</v>
      </c>
      <c r="AG35" s="9">
        <v>6252</v>
      </c>
      <c r="AH35" s="9">
        <v>6559.5</v>
      </c>
      <c r="AI35" s="9">
        <v>7004</v>
      </c>
      <c r="AJ35" s="9">
        <v>7337.4</v>
      </c>
      <c r="AK35" s="9">
        <v>7751.3</v>
      </c>
      <c r="AL35" s="9">
        <v>7820.6</v>
      </c>
      <c r="AM35" s="9">
        <v>9023.6</v>
      </c>
      <c r="AN35" s="9">
        <v>10200.700000000001</v>
      </c>
      <c r="AO35" s="9">
        <v>10801.2</v>
      </c>
      <c r="AP35" s="9">
        <v>10905.8</v>
      </c>
      <c r="AQ35" s="9">
        <v>11006.2</v>
      </c>
      <c r="AR35" s="9"/>
      <c r="AS35" s="9"/>
      <c r="AT35" s="9">
        <v>20540.5</v>
      </c>
      <c r="AU35" s="9">
        <v>20152.7</v>
      </c>
      <c r="AV35" s="9">
        <v>21448</v>
      </c>
      <c r="AW35" s="9">
        <v>22150.7</v>
      </c>
      <c r="AX35" s="9">
        <v>22614.1</v>
      </c>
      <c r="AY35" s="9">
        <v>23565.200000000001</v>
      </c>
      <c r="AZ35" s="9">
        <v>24826.7</v>
      </c>
      <c r="BA35" s="9">
        <v>23939.3</v>
      </c>
      <c r="BB35" s="9">
        <v>29698.9</v>
      </c>
      <c r="BC35" s="9">
        <v>33208.6</v>
      </c>
      <c r="BD35" s="9">
        <v>33535.4</v>
      </c>
      <c r="BE35" s="9">
        <v>33693.800000000003</v>
      </c>
      <c r="BF35" s="9">
        <v>34559</v>
      </c>
      <c r="BH35" s="8"/>
      <c r="BI35" s="11"/>
      <c r="BM35" s="11"/>
    </row>
    <row r="36" spans="1:65" x14ac:dyDescent="0.25">
      <c r="A36" s="7" t="s">
        <v>88</v>
      </c>
      <c r="B36" s="8" t="s">
        <v>89</v>
      </c>
      <c r="C36" s="10">
        <v>616.16522299999997</v>
      </c>
      <c r="D36" s="10">
        <v>514.43220199999996</v>
      </c>
      <c r="E36" s="10">
        <v>535.63037499999996</v>
      </c>
      <c r="F36" s="10">
        <v>353.937749</v>
      </c>
      <c r="G36" s="10">
        <v>312.72191800000002</v>
      </c>
      <c r="H36" s="10">
        <v>364.25412499999999</v>
      </c>
      <c r="I36" s="10">
        <v>413.80077399999999</v>
      </c>
      <c r="J36" s="10">
        <v>352.09660400000001</v>
      </c>
      <c r="K36" s="10">
        <v>465.45726400000001</v>
      </c>
      <c r="L36" s="10">
        <v>455.99017400000002</v>
      </c>
      <c r="M36" s="10">
        <v>482.78238700000003</v>
      </c>
      <c r="N36" s="10">
        <v>355.00178099999999</v>
      </c>
      <c r="O36" s="10">
        <v>453.20509199999998</v>
      </c>
      <c r="P36" s="10"/>
      <c r="Q36" s="10">
        <v>187.067476</v>
      </c>
      <c r="R36" s="10">
        <v>239.404247</v>
      </c>
      <c r="S36" s="10">
        <v>195.83880600000001</v>
      </c>
      <c r="T36" s="10">
        <v>97.580799999999996</v>
      </c>
      <c r="U36" s="10">
        <v>69.225590999999994</v>
      </c>
      <c r="V36" s="10">
        <v>92.348169999999996</v>
      </c>
      <c r="W36" s="10">
        <v>147.758453</v>
      </c>
      <c r="X36" s="10">
        <v>91.564032999999995</v>
      </c>
      <c r="Y36" s="10">
        <v>146.84595300000001</v>
      </c>
      <c r="Z36" s="9">
        <v>213.43462700000001</v>
      </c>
      <c r="AA36" s="9">
        <v>308.26093900000001</v>
      </c>
      <c r="AB36" s="9">
        <v>276.65746799999999</v>
      </c>
      <c r="AC36" s="9">
        <v>330.598232</v>
      </c>
      <c r="AD36" s="9"/>
      <c r="AE36" s="9">
        <v>1165.5357770000001</v>
      </c>
      <c r="AF36" s="9">
        <v>1212.4601</v>
      </c>
      <c r="AG36" s="9">
        <v>1265.7866819999999</v>
      </c>
      <c r="AH36" s="9">
        <v>925.36957399999994</v>
      </c>
      <c r="AI36" s="9">
        <v>792.49826099999996</v>
      </c>
      <c r="AJ36" s="9">
        <v>829.12020600000005</v>
      </c>
      <c r="AK36" s="9">
        <v>957.359511</v>
      </c>
      <c r="AL36" s="9">
        <v>970.55956400000002</v>
      </c>
      <c r="AM36" s="9">
        <v>853.43221100000005</v>
      </c>
      <c r="AN36" s="9">
        <v>976.11373700000001</v>
      </c>
      <c r="AO36" s="9">
        <v>1154.5302099999999</v>
      </c>
      <c r="AP36" s="9">
        <v>1200.1613769999999</v>
      </c>
      <c r="AQ36" s="9">
        <v>1253.7591950000001</v>
      </c>
      <c r="AR36" s="9"/>
      <c r="AS36" s="9"/>
      <c r="AT36" s="9">
        <v>2635.5787559999999</v>
      </c>
      <c r="AU36" s="9">
        <v>2927.3514260000002</v>
      </c>
      <c r="AV36" s="9">
        <v>2874.4460800000002</v>
      </c>
      <c r="AW36" s="9">
        <v>2540.2246749999999</v>
      </c>
      <c r="AX36" s="9">
        <v>2408.9807380000002</v>
      </c>
      <c r="AY36" s="9">
        <v>2348.6378070000001</v>
      </c>
      <c r="AZ36" s="9">
        <v>2564.8108550000002</v>
      </c>
      <c r="BA36" s="9">
        <v>2549.8917160000001</v>
      </c>
      <c r="BB36" s="9">
        <v>3202.0126059999998</v>
      </c>
      <c r="BC36" s="9">
        <v>2595.2889380000001</v>
      </c>
      <c r="BD36" s="9">
        <v>2724.5529980000001</v>
      </c>
      <c r="BE36" s="9">
        <v>3012.514784</v>
      </c>
      <c r="BF36" s="9">
        <v>2625.7071390000001</v>
      </c>
      <c r="BH36" s="8"/>
      <c r="BI36" s="11"/>
      <c r="BM36" s="11"/>
    </row>
    <row r="37" spans="1:65" x14ac:dyDescent="0.25">
      <c r="A37" s="20" t="s">
        <v>90</v>
      </c>
      <c r="B37" s="8" t="s">
        <v>91</v>
      </c>
      <c r="C37" s="9">
        <v>9507.83</v>
      </c>
      <c r="D37" s="9">
        <v>8064.9</v>
      </c>
      <c r="E37" s="9">
        <v>8506.7000000000007</v>
      </c>
      <c r="F37" s="9">
        <v>7799.3</v>
      </c>
      <c r="G37" s="9">
        <v>7606.5</v>
      </c>
      <c r="H37" s="9">
        <v>8411</v>
      </c>
      <c r="I37" s="9">
        <v>8910.2000000000007</v>
      </c>
      <c r="J37" s="9">
        <v>7881.3</v>
      </c>
      <c r="K37" s="9">
        <v>10201.299999999999</v>
      </c>
      <c r="L37" s="9">
        <v>10752.2</v>
      </c>
      <c r="M37" s="9">
        <v>10797.208000000001</v>
      </c>
      <c r="N37" s="9">
        <v>9519.2999999999993</v>
      </c>
      <c r="O37" s="9">
        <v>10461.519</v>
      </c>
      <c r="P37" s="9"/>
      <c r="Q37" s="9">
        <v>261.89999999999998</v>
      </c>
      <c r="R37" s="9">
        <v>197.8</v>
      </c>
      <c r="S37" s="9">
        <v>182.1</v>
      </c>
      <c r="T37" s="9">
        <v>213.5</v>
      </c>
      <c r="U37" s="9">
        <v>187.3</v>
      </c>
      <c r="V37" s="9">
        <v>201.1</v>
      </c>
      <c r="W37" s="9">
        <v>202.4</v>
      </c>
      <c r="X37" s="9">
        <v>214.9</v>
      </c>
      <c r="Y37" s="9">
        <v>226.4</v>
      </c>
      <c r="Z37" s="9">
        <v>202.8</v>
      </c>
      <c r="AA37" s="9">
        <v>239.23599999999999</v>
      </c>
      <c r="AB37" s="9">
        <v>204.9</v>
      </c>
      <c r="AC37" s="9">
        <v>200.58600000000001</v>
      </c>
      <c r="AD37" s="9"/>
      <c r="AE37" s="9">
        <v>8444.85</v>
      </c>
      <c r="AF37" s="9">
        <v>9165.7999999999993</v>
      </c>
      <c r="AG37" s="9">
        <v>9960.2000000000007</v>
      </c>
      <c r="AH37" s="9">
        <v>10348</v>
      </c>
      <c r="AI37" s="9">
        <v>10614.6</v>
      </c>
      <c r="AJ37" s="9">
        <v>10148.1</v>
      </c>
      <c r="AK37" s="9">
        <v>10573.400000000001</v>
      </c>
      <c r="AL37" s="9">
        <v>10685.7</v>
      </c>
      <c r="AM37" s="9">
        <v>12190.6</v>
      </c>
      <c r="AN37" s="9">
        <v>13029.6</v>
      </c>
      <c r="AO37" s="9">
        <v>13483.137000000001</v>
      </c>
      <c r="AP37" s="9">
        <v>13700.5</v>
      </c>
      <c r="AQ37" s="9">
        <v>14144.773999999999</v>
      </c>
      <c r="AR37" s="9"/>
      <c r="AS37" s="9"/>
      <c r="AT37" s="9">
        <v>21015.71</v>
      </c>
      <c r="AU37" s="9">
        <v>20134.7</v>
      </c>
      <c r="AV37" s="9">
        <v>21405.8</v>
      </c>
      <c r="AW37" s="9">
        <v>21821.599999999999</v>
      </c>
      <c r="AX37" s="9">
        <v>21885.8</v>
      </c>
      <c r="AY37" s="9">
        <v>22423.200000000001</v>
      </c>
      <c r="AZ37" s="9">
        <v>23489.599999999999</v>
      </c>
      <c r="BA37" s="9">
        <v>22623</v>
      </c>
      <c r="BB37" s="9">
        <v>26467</v>
      </c>
      <c r="BC37" s="9">
        <v>28152.5</v>
      </c>
      <c r="BD37" s="9">
        <v>28915.687000000002</v>
      </c>
      <c r="BE37" s="9">
        <v>27944.5</v>
      </c>
      <c r="BF37" s="9">
        <v>29220.222000000002</v>
      </c>
      <c r="BH37" s="8"/>
      <c r="BI37" s="11"/>
      <c r="BM37" s="11"/>
    </row>
    <row r="38" spans="1:65" x14ac:dyDescent="0.25">
      <c r="A38" s="17" t="s">
        <v>92</v>
      </c>
      <c r="B38" s="8" t="s">
        <v>93</v>
      </c>
      <c r="C38" s="9">
        <v>2056.7674919999999</v>
      </c>
      <c r="D38" s="9">
        <v>2027.9756050000001</v>
      </c>
      <c r="E38" s="9">
        <v>2160.7781100000002</v>
      </c>
      <c r="F38" s="9">
        <v>1989.6994790000001</v>
      </c>
      <c r="G38" s="9">
        <v>1881.4768140000001</v>
      </c>
      <c r="H38" s="9">
        <v>2083.7582499999999</v>
      </c>
      <c r="I38" s="9">
        <v>2272.8898469999999</v>
      </c>
      <c r="J38" s="9">
        <v>2434.1340709999999</v>
      </c>
      <c r="K38" s="9">
        <v>2816.6953079999998</v>
      </c>
      <c r="L38" s="9">
        <v>3149.1817070000002</v>
      </c>
      <c r="M38" s="9">
        <v>3372.6308519999998</v>
      </c>
      <c r="N38" s="9">
        <v>3253.438815</v>
      </c>
      <c r="O38" s="9">
        <v>3518.7149460000001</v>
      </c>
      <c r="P38" s="9"/>
      <c r="Q38" s="9">
        <v>451.63982399999998</v>
      </c>
      <c r="R38" s="9">
        <v>306.536858</v>
      </c>
      <c r="S38" s="9">
        <v>303.45695799999999</v>
      </c>
      <c r="T38" s="9">
        <v>259.882969</v>
      </c>
      <c r="U38" s="9">
        <v>130.62100000000001</v>
      </c>
      <c r="V38" s="9">
        <v>192.84089499999999</v>
      </c>
      <c r="W38" s="9">
        <v>241.89664500000001</v>
      </c>
      <c r="X38" s="9">
        <v>238.25997599999999</v>
      </c>
      <c r="Y38" s="9">
        <v>452.13784800000002</v>
      </c>
      <c r="Z38" s="9">
        <v>527.11496799999998</v>
      </c>
      <c r="AA38" s="9">
        <v>598.49755000000005</v>
      </c>
      <c r="AB38" s="9">
        <v>331.79364600000002</v>
      </c>
      <c r="AC38" s="9">
        <v>481.65537399999999</v>
      </c>
      <c r="AD38" s="9"/>
      <c r="AE38" s="9">
        <f>1900.847138+186.590009</f>
        <v>2087.4371470000001</v>
      </c>
      <c r="AF38" s="9">
        <f>1959.396264+196.693829</f>
        <v>2156.0900929999998</v>
      </c>
      <c r="AG38" s="9">
        <f>2019.725448+204.233847</f>
        <v>2223.9592950000001</v>
      </c>
      <c r="AH38" s="9">
        <f>1893.58564+169.697019</f>
        <v>2063.282659</v>
      </c>
      <c r="AI38" s="9">
        <f>1850.145427+188.02528</f>
        <v>2038.170707</v>
      </c>
      <c r="AJ38" s="9">
        <f>2136.000056+232.925511</f>
        <v>2368.9255669999998</v>
      </c>
      <c r="AK38" s="9">
        <f>2136.539388+306.40179</f>
        <v>2442.941178</v>
      </c>
      <c r="AL38" s="9">
        <f>2019.904805+329.163434</f>
        <v>2349.0682389999997</v>
      </c>
      <c r="AM38" s="9">
        <f>2196.722155+369.967042</f>
        <v>2566.6891969999997</v>
      </c>
      <c r="AN38" s="9">
        <f>2495.226162+437.992983</f>
        <v>2933.219145</v>
      </c>
      <c r="AO38" s="9">
        <f>2629.188327+483.83612</f>
        <v>3113.0244469999998</v>
      </c>
      <c r="AP38" s="9">
        <f>2610.353375+517.902143</f>
        <v>3128.2555179999999</v>
      </c>
      <c r="AQ38" s="9">
        <f>2296.300534+541.472159</f>
        <v>2837.7726929999999</v>
      </c>
      <c r="AR38" s="9"/>
      <c r="AS38" s="9"/>
      <c r="AT38" s="9">
        <v>5604.0608659999998</v>
      </c>
      <c r="AU38" s="9">
        <v>5627.4497339999998</v>
      </c>
      <c r="AV38" s="9">
        <v>5726.5111550000001</v>
      </c>
      <c r="AW38" s="9">
        <v>5202.1671850000002</v>
      </c>
      <c r="AX38" s="9">
        <v>5042.9175249999998</v>
      </c>
      <c r="AY38" s="9">
        <v>5854.2305660000002</v>
      </c>
      <c r="AZ38" s="9">
        <v>6859.7412510000004</v>
      </c>
      <c r="BA38" s="9">
        <v>6266.1012339999997</v>
      </c>
      <c r="BB38" s="9">
        <v>7006.7352510000001</v>
      </c>
      <c r="BC38" s="9">
        <v>8493.6732520000005</v>
      </c>
      <c r="BD38" s="9">
        <v>9104.3013350000001</v>
      </c>
      <c r="BE38" s="9">
        <v>8466.2585010000003</v>
      </c>
      <c r="BF38" s="9">
        <v>8745.4159720000007</v>
      </c>
      <c r="BH38" s="8"/>
      <c r="BI38" s="11"/>
      <c r="BM38" s="11"/>
    </row>
    <row r="39" spans="1:65" x14ac:dyDescent="0.25">
      <c r="A39" s="7" t="s">
        <v>94</v>
      </c>
      <c r="B39" s="8" t="s">
        <v>95</v>
      </c>
      <c r="C39" s="9">
        <v>6255.6459999999997</v>
      </c>
      <c r="D39" s="9">
        <v>6628.0213409682001</v>
      </c>
      <c r="E39" s="9">
        <v>7292.1572434194004</v>
      </c>
      <c r="F39" s="9">
        <v>7598.5569999999998</v>
      </c>
      <c r="G39" s="9">
        <v>8457.2739999999994</v>
      </c>
      <c r="H39" s="9">
        <v>8872.4789999999994</v>
      </c>
      <c r="I39" s="9">
        <v>9908.5889999999999</v>
      </c>
      <c r="J39" s="9">
        <v>7192.0479999999998</v>
      </c>
      <c r="K39" s="9">
        <v>12772.597</v>
      </c>
      <c r="L39" s="9">
        <v>12436.648825</v>
      </c>
      <c r="M39" s="9">
        <v>13246.856486000001</v>
      </c>
      <c r="N39" s="9">
        <v>9128.4079999999994</v>
      </c>
      <c r="O39" s="9">
        <v>13041.019</v>
      </c>
      <c r="P39" s="9"/>
      <c r="Q39" s="9">
        <v>452.88818974970002</v>
      </c>
      <c r="R39" s="9">
        <v>494.75936892890002</v>
      </c>
      <c r="S39" s="9">
        <v>621.76976071000001</v>
      </c>
      <c r="T39" s="9">
        <v>603.07799999999997</v>
      </c>
      <c r="U39" s="9">
        <v>607.65800000000002</v>
      </c>
      <c r="V39" s="9">
        <v>754.98</v>
      </c>
      <c r="W39" s="9">
        <v>926.66918799999996</v>
      </c>
      <c r="X39" s="9">
        <v>488.29399999999998</v>
      </c>
      <c r="Y39" s="9">
        <v>1478.6179999999999</v>
      </c>
      <c r="Z39" s="9">
        <v>1538.4969960000001</v>
      </c>
      <c r="AA39" s="9">
        <v>1618.5180319999999</v>
      </c>
      <c r="AB39" s="9">
        <v>1623.0830000000001</v>
      </c>
      <c r="AC39" s="9">
        <v>1527.6869999999999</v>
      </c>
      <c r="AD39" s="9"/>
      <c r="AE39" s="9" t="s">
        <v>24</v>
      </c>
      <c r="AF39" s="9" t="s">
        <v>24</v>
      </c>
      <c r="AG39" s="9" t="s">
        <v>24</v>
      </c>
      <c r="AH39" s="9" t="s">
        <v>24</v>
      </c>
      <c r="AI39" s="9" t="s">
        <v>24</v>
      </c>
      <c r="AJ39" s="9" t="s">
        <v>24</v>
      </c>
      <c r="AK39" s="9" t="s">
        <v>24</v>
      </c>
      <c r="AL39" s="9" t="s">
        <v>24</v>
      </c>
      <c r="AM39" s="9" t="s">
        <v>24</v>
      </c>
      <c r="AN39" s="9" t="s">
        <v>24</v>
      </c>
      <c r="AO39" s="9" t="s">
        <v>24</v>
      </c>
      <c r="AP39" s="9" t="s">
        <v>24</v>
      </c>
      <c r="AQ39" s="9" t="s">
        <v>24</v>
      </c>
      <c r="AR39" s="9"/>
      <c r="AS39" s="9"/>
      <c r="AT39" s="10">
        <v>7213.0734401865984</v>
      </c>
      <c r="AU39" s="10">
        <v>7612.1</v>
      </c>
      <c r="AV39" s="10">
        <v>8418.2999999999993</v>
      </c>
      <c r="AW39" s="10">
        <v>8713.1</v>
      </c>
      <c r="AX39" s="10">
        <v>9810</v>
      </c>
      <c r="AY39" s="9">
        <v>10244.299999999999</v>
      </c>
      <c r="AZ39" s="9">
        <v>11541.5</v>
      </c>
      <c r="BA39" s="10">
        <v>8319.2849409127011</v>
      </c>
      <c r="BB39" s="10">
        <v>15218.9</v>
      </c>
      <c r="BC39" s="10">
        <v>14837.7</v>
      </c>
      <c r="BD39" s="10">
        <v>15759.2</v>
      </c>
      <c r="BE39" s="10">
        <v>11878.415000000001</v>
      </c>
      <c r="BF39" s="10">
        <v>15505.895</v>
      </c>
      <c r="BH39" s="8"/>
      <c r="BI39" s="11"/>
      <c r="BM39" s="11"/>
    </row>
    <row r="40" spans="1:65" x14ac:dyDescent="0.25">
      <c r="A40" s="14" t="s">
        <v>96</v>
      </c>
      <c r="B40" s="8" t="s">
        <v>97</v>
      </c>
      <c r="C40" s="9">
        <v>11371.2</v>
      </c>
      <c r="D40" s="9">
        <v>11437.3</v>
      </c>
      <c r="E40" s="9">
        <v>12107.4</v>
      </c>
      <c r="F40" s="9">
        <v>12506</v>
      </c>
      <c r="G40" s="9">
        <v>12664.4</v>
      </c>
      <c r="H40" s="9">
        <v>13399</v>
      </c>
      <c r="I40" s="9">
        <v>14095.5</v>
      </c>
      <c r="J40" s="9">
        <v>12835</v>
      </c>
      <c r="K40" s="9">
        <v>16283.4</v>
      </c>
      <c r="L40" s="9">
        <v>18125.7</v>
      </c>
      <c r="M40" s="9">
        <v>17628.099999999999</v>
      </c>
      <c r="N40" s="9">
        <v>17856.8</v>
      </c>
      <c r="O40" s="9">
        <v>18956.5</v>
      </c>
      <c r="P40" s="9"/>
      <c r="Q40" s="9">
        <v>2423.4</v>
      </c>
      <c r="R40" s="9">
        <v>2501.6</v>
      </c>
      <c r="S40" s="9">
        <v>2811.5</v>
      </c>
      <c r="T40" s="9">
        <v>2842.4</v>
      </c>
      <c r="U40" s="9">
        <v>2751.5</v>
      </c>
      <c r="V40" s="9">
        <v>2879</v>
      </c>
      <c r="W40" s="9">
        <v>3397.5</v>
      </c>
      <c r="X40" s="9">
        <v>2826.9</v>
      </c>
      <c r="Y40" s="9">
        <v>4423.8</v>
      </c>
      <c r="Z40" s="9">
        <v>5323.1</v>
      </c>
      <c r="AA40" s="9">
        <v>6142.9</v>
      </c>
      <c r="AB40" s="9">
        <v>5651.5</v>
      </c>
      <c r="AC40" s="9">
        <v>4719.8999999999996</v>
      </c>
      <c r="AD40" s="9"/>
      <c r="AE40" s="9">
        <v>8893.7000000000007</v>
      </c>
      <c r="AF40" s="9">
        <v>9129.6</v>
      </c>
      <c r="AG40" s="9">
        <v>9493.1</v>
      </c>
      <c r="AH40" s="9">
        <v>9795.2000000000007</v>
      </c>
      <c r="AI40" s="9">
        <v>10005.200000000001</v>
      </c>
      <c r="AJ40" s="9">
        <v>10381.4</v>
      </c>
      <c r="AK40" s="9">
        <v>11099.6</v>
      </c>
      <c r="AL40" s="9">
        <v>10817.8</v>
      </c>
      <c r="AM40" s="9">
        <v>12834.9</v>
      </c>
      <c r="AN40" s="9">
        <v>13915.2</v>
      </c>
      <c r="AO40" s="9">
        <v>14024.4</v>
      </c>
      <c r="AP40" s="9">
        <v>14255.9</v>
      </c>
      <c r="AQ40" s="9">
        <v>14693.2</v>
      </c>
      <c r="AR40" s="9"/>
      <c r="AS40" s="9"/>
      <c r="AT40" s="9">
        <v>28646.9</v>
      </c>
      <c r="AU40" s="9">
        <v>28607.200000000001</v>
      </c>
      <c r="AV40" s="9">
        <v>30592.5</v>
      </c>
      <c r="AW40" s="9">
        <v>30901.7</v>
      </c>
      <c r="AX40" s="9">
        <v>31669.7</v>
      </c>
      <c r="AY40" s="9">
        <v>34566.9</v>
      </c>
      <c r="AZ40" s="9">
        <v>34857.9</v>
      </c>
      <c r="BA40" s="9">
        <v>32275.8</v>
      </c>
      <c r="BB40" s="9">
        <v>40389.4</v>
      </c>
      <c r="BC40" s="9">
        <v>48134.2</v>
      </c>
      <c r="BD40" s="9">
        <v>44917.1</v>
      </c>
      <c r="BE40" s="9">
        <v>45473.5</v>
      </c>
      <c r="BF40" s="9">
        <v>46408.4</v>
      </c>
      <c r="BH40" s="8"/>
      <c r="BI40" s="11"/>
      <c r="BM40" s="11"/>
    </row>
    <row r="41" spans="1:65" x14ac:dyDescent="0.25">
      <c r="A41" s="7" t="s">
        <v>98</v>
      </c>
      <c r="B41" s="8" t="s">
        <v>99</v>
      </c>
      <c r="C41" s="9">
        <v>1085.765261</v>
      </c>
      <c r="D41" s="9">
        <v>1115.5125270000001</v>
      </c>
      <c r="E41" s="9">
        <v>1227.58196</v>
      </c>
      <c r="F41" s="9">
        <v>1217.4295750000001</v>
      </c>
      <c r="G41" s="9">
        <v>1243.8070560000001</v>
      </c>
      <c r="H41" s="9">
        <v>1345.272113</v>
      </c>
      <c r="I41" s="9">
        <v>1396.962571</v>
      </c>
      <c r="J41" s="9">
        <v>1405.5084890000001</v>
      </c>
      <c r="K41" s="9">
        <v>1615.512279</v>
      </c>
      <c r="L41" s="9">
        <v>1985.9234140000001</v>
      </c>
      <c r="M41" s="9">
        <v>1813.60511</v>
      </c>
      <c r="N41" s="21">
        <v>1819.1930070000001</v>
      </c>
      <c r="O41" s="21">
        <v>1975.290305</v>
      </c>
      <c r="P41" s="9"/>
      <c r="Q41" s="9">
        <v>144.42282800000001</v>
      </c>
      <c r="R41" s="9">
        <v>130.82604799999999</v>
      </c>
      <c r="S41" s="9">
        <v>170.722373</v>
      </c>
      <c r="T41" s="9">
        <v>156.004885</v>
      </c>
      <c r="U41" s="9">
        <f>(119289609+22188601)/1000000</f>
        <v>141.47820999999999</v>
      </c>
      <c r="V41" s="9">
        <f>(127674418+29176929)/1000000</f>
        <v>156.851347</v>
      </c>
      <c r="W41" s="9">
        <f>(155110673+21145195)/1000000</f>
        <v>176.25586799999999</v>
      </c>
      <c r="X41" s="9">
        <f>148.605498+44.612483</f>
        <v>193.21798100000001</v>
      </c>
      <c r="Y41" s="9">
        <f>201.788847+34.85603</f>
        <v>236.64487700000001</v>
      </c>
      <c r="Z41" s="9">
        <f>288.450198+36.263375</f>
        <v>324.713573</v>
      </c>
      <c r="AA41" s="9">
        <f>272.572015+31.6535</f>
        <v>304.22551500000003</v>
      </c>
      <c r="AB41" s="9">
        <f>367.504982+47.67806</f>
        <v>415.183042</v>
      </c>
      <c r="AC41" s="9">
        <f>(332787290+7603962)/1000000</f>
        <v>340.39125200000001</v>
      </c>
      <c r="AD41" s="9"/>
      <c r="AE41" s="9">
        <v>878.86607400000003</v>
      </c>
      <c r="AF41" s="9">
        <v>916.08325300000001</v>
      </c>
      <c r="AG41" s="9">
        <v>963.446369</v>
      </c>
      <c r="AH41" s="9">
        <v>971.87292400000001</v>
      </c>
      <c r="AI41" s="9">
        <v>998.19656699999996</v>
      </c>
      <c r="AJ41" s="9">
        <v>1057.1899209999999</v>
      </c>
      <c r="AK41" s="9">
        <v>1125.6982740000001</v>
      </c>
      <c r="AL41" s="9">
        <v>1167.423462</v>
      </c>
      <c r="AM41" s="9">
        <v>1341.4722280000001</v>
      </c>
      <c r="AN41" s="9">
        <v>1511.452749</v>
      </c>
      <c r="AO41" s="9">
        <v>1564.768022</v>
      </c>
      <c r="AP41" s="9">
        <v>1635.427555</v>
      </c>
      <c r="AQ41" s="9">
        <v>1672.708738</v>
      </c>
      <c r="AR41" s="9"/>
      <c r="AS41" s="9"/>
      <c r="AT41" s="9">
        <v>3323.9988199999998</v>
      </c>
      <c r="AU41" s="9">
        <v>3430.2624150000001</v>
      </c>
      <c r="AV41" s="9">
        <v>3641.1086439999999</v>
      </c>
      <c r="AW41" s="9">
        <v>3663.5926370000002</v>
      </c>
      <c r="AX41" s="9">
        <v>3684.3576189999999</v>
      </c>
      <c r="AY41" s="9">
        <v>3908.3844359999998</v>
      </c>
      <c r="AZ41" s="9">
        <v>4024.5796180000002</v>
      </c>
      <c r="BA41" s="9">
        <v>4063.7134059999998</v>
      </c>
      <c r="BB41" s="9">
        <v>4437.4785659999998</v>
      </c>
      <c r="BC41" s="9">
        <v>5204.2440690000003</v>
      </c>
      <c r="BD41" s="9">
        <v>5211.7294490000004</v>
      </c>
      <c r="BE41" s="9">
        <v>5418.7038409999996</v>
      </c>
      <c r="BF41" s="13">
        <v>5610.0136359999997</v>
      </c>
      <c r="BG41" s="1" t="s">
        <v>25</v>
      </c>
      <c r="BH41" s="8"/>
      <c r="BI41" s="11"/>
      <c r="BM41" s="11"/>
    </row>
    <row r="42" spans="1:65" x14ac:dyDescent="0.25">
      <c r="A42" s="14" t="s">
        <v>100</v>
      </c>
      <c r="B42" s="8" t="s">
        <v>101</v>
      </c>
      <c r="C42" s="9">
        <v>3357.5176689999998</v>
      </c>
      <c r="D42" s="9">
        <v>3422.6043140000002</v>
      </c>
      <c r="E42" s="9">
        <v>3661.194579</v>
      </c>
      <c r="F42" s="9">
        <v>3832.846497</v>
      </c>
      <c r="G42" s="9">
        <v>4107.647011</v>
      </c>
      <c r="H42" s="9">
        <v>4398.4236609999998</v>
      </c>
      <c r="I42" s="9">
        <v>4714.9981740000003</v>
      </c>
      <c r="J42" s="9">
        <v>5019.4200300000002</v>
      </c>
      <c r="K42" s="9">
        <v>5421.2805429999999</v>
      </c>
      <c r="L42" s="9">
        <v>6827.5600999999997</v>
      </c>
      <c r="M42" s="9">
        <v>5758.2118609999998</v>
      </c>
      <c r="N42" s="9">
        <v>6113.1848710000004</v>
      </c>
      <c r="O42" s="9">
        <v>6722.1869379999998</v>
      </c>
      <c r="P42" s="9"/>
      <c r="Q42" s="9">
        <v>386.66858999999999</v>
      </c>
      <c r="R42" s="9">
        <v>331.14804800000002</v>
      </c>
      <c r="S42" s="9">
        <v>377.66925800000001</v>
      </c>
      <c r="T42" s="9">
        <v>411.14812499999999</v>
      </c>
      <c r="U42" s="9">
        <v>320.415504</v>
      </c>
      <c r="V42" s="9">
        <v>375.18958700000002</v>
      </c>
      <c r="W42" s="9">
        <v>494.21444200000002</v>
      </c>
      <c r="X42" s="9">
        <v>423.05219299999999</v>
      </c>
      <c r="Y42" s="9">
        <v>669.22111399999994</v>
      </c>
      <c r="Z42" s="9">
        <v>1129.3751239999999</v>
      </c>
      <c r="AA42" s="9">
        <v>1262.221843</v>
      </c>
      <c r="AB42" s="9">
        <v>1293.0637340000001</v>
      </c>
      <c r="AC42" s="9">
        <v>1321.6284599999999</v>
      </c>
      <c r="AD42" s="9"/>
      <c r="AE42" s="9">
        <v>2428.9941979999999</v>
      </c>
      <c r="AF42" s="9">
        <v>2504.9148140000002</v>
      </c>
      <c r="AG42" s="9">
        <v>2643.7400830000001</v>
      </c>
      <c r="AH42" s="9">
        <v>2818.605595</v>
      </c>
      <c r="AI42" s="9">
        <v>2896.27126</v>
      </c>
      <c r="AJ42" s="9">
        <v>3034.4151689999999</v>
      </c>
      <c r="AK42" s="9">
        <v>3186.4254540000002</v>
      </c>
      <c r="AL42" s="9">
        <v>3286.7717440000001</v>
      </c>
      <c r="AM42" s="9">
        <v>3825.9203349999998</v>
      </c>
      <c r="AN42" s="9">
        <v>4401.9931790000001</v>
      </c>
      <c r="AO42" s="9">
        <v>4660.0787849999997</v>
      </c>
      <c r="AP42" s="9">
        <v>4786.3799440000003</v>
      </c>
      <c r="AQ42" s="9">
        <v>5027.4404270000005</v>
      </c>
      <c r="AR42" s="9"/>
      <c r="AS42" s="9"/>
      <c r="AT42" s="9">
        <v>6924.840185</v>
      </c>
      <c r="AU42" s="9">
        <v>7033.24863</v>
      </c>
      <c r="AV42" s="9">
        <v>7513.4534729999996</v>
      </c>
      <c r="AW42" s="9">
        <v>7839.4240280000004</v>
      </c>
      <c r="AX42" s="9">
        <v>8158.5095369999999</v>
      </c>
      <c r="AY42" s="9">
        <v>8706.0174459999998</v>
      </c>
      <c r="AZ42" s="9">
        <v>9402.1268089999994</v>
      </c>
      <c r="BA42" s="9">
        <v>9793.2774939999999</v>
      </c>
      <c r="BB42" s="9">
        <v>11089.126539999999</v>
      </c>
      <c r="BC42" s="9">
        <v>13654.415325</v>
      </c>
      <c r="BD42" s="9">
        <v>13094.202031999999</v>
      </c>
      <c r="BE42" s="9">
        <v>13707.680634</v>
      </c>
      <c r="BF42" s="9">
        <v>14858.558693000001</v>
      </c>
      <c r="BH42" s="8"/>
      <c r="BI42" s="11"/>
      <c r="BM42" s="11"/>
    </row>
    <row r="43" spans="1:65" x14ac:dyDescent="0.25">
      <c r="A43" s="14" t="s">
        <v>102</v>
      </c>
      <c r="B43" s="8" t="s">
        <v>103</v>
      </c>
      <c r="C43" s="9" t="s">
        <v>24</v>
      </c>
      <c r="D43" s="9" t="s">
        <v>24</v>
      </c>
      <c r="E43" s="9" t="s">
        <v>24</v>
      </c>
      <c r="F43" s="9" t="s">
        <v>24</v>
      </c>
      <c r="G43" s="9" t="s">
        <v>24</v>
      </c>
      <c r="H43" s="9" t="s">
        <v>24</v>
      </c>
      <c r="I43" s="9" t="s">
        <v>24</v>
      </c>
      <c r="J43" s="9" t="s">
        <v>24</v>
      </c>
      <c r="K43" s="9" t="s">
        <v>24</v>
      </c>
      <c r="L43" s="9" t="s">
        <v>24</v>
      </c>
      <c r="M43" s="9" t="s">
        <v>24</v>
      </c>
      <c r="N43" s="9" t="s">
        <v>24</v>
      </c>
      <c r="O43" s="9" t="s">
        <v>24</v>
      </c>
      <c r="P43" s="9"/>
      <c r="Q43" s="9">
        <v>17.537046</v>
      </c>
      <c r="R43" s="9">
        <v>10.782035</v>
      </c>
      <c r="S43" s="9">
        <v>8.5830990000000007</v>
      </c>
      <c r="T43" s="9">
        <v>10.512753999999999</v>
      </c>
      <c r="U43" s="9">
        <v>14.688770999999999</v>
      </c>
      <c r="V43" s="9">
        <v>13.49494</v>
      </c>
      <c r="W43" s="9">
        <v>17.256119999999999</v>
      </c>
      <c r="X43" s="9">
        <v>12.060604</v>
      </c>
      <c r="Y43" s="9">
        <v>18.702021999999999</v>
      </c>
      <c r="Z43" s="9">
        <v>22.511849999999999</v>
      </c>
      <c r="AA43" s="9">
        <v>20.425082</v>
      </c>
      <c r="AB43" s="9">
        <v>28.659255000000002</v>
      </c>
      <c r="AC43" s="9">
        <v>26.180028</v>
      </c>
      <c r="AD43" s="9"/>
      <c r="AE43" s="9">
        <v>776.09553900000003</v>
      </c>
      <c r="AF43" s="9">
        <v>823.40159300000005</v>
      </c>
      <c r="AG43" s="9">
        <v>836.58710799999994</v>
      </c>
      <c r="AH43" s="9">
        <v>860.90570500000001</v>
      </c>
      <c r="AI43" s="9">
        <v>951.22308099999998</v>
      </c>
      <c r="AJ43" s="9">
        <v>988.82360300000005</v>
      </c>
      <c r="AK43" s="9">
        <v>1025.4012090000001</v>
      </c>
      <c r="AL43" s="9">
        <v>1072.830649</v>
      </c>
      <c r="AM43" s="9">
        <v>1209.3423419999999</v>
      </c>
      <c r="AN43" s="9">
        <v>1356.844793</v>
      </c>
      <c r="AO43" s="9">
        <v>1480.57285</v>
      </c>
      <c r="AP43" s="9">
        <v>1441.67877</v>
      </c>
      <c r="AQ43" s="9">
        <v>1432.6311370000001</v>
      </c>
      <c r="AR43" s="9"/>
      <c r="AS43" s="9"/>
      <c r="AT43" s="9">
        <v>1258.1772169999999</v>
      </c>
      <c r="AU43" s="9">
        <v>1353.797245</v>
      </c>
      <c r="AV43" s="9">
        <v>1381.384943</v>
      </c>
      <c r="AW43" s="9">
        <v>1438.3868199999999</v>
      </c>
      <c r="AX43" s="9">
        <v>1540.7939730000001</v>
      </c>
      <c r="AY43" s="9">
        <v>1593.405861</v>
      </c>
      <c r="AZ43" s="9">
        <v>1641.2032879999999</v>
      </c>
      <c r="BA43" s="9">
        <v>1699.623</v>
      </c>
      <c r="BB43" s="9">
        <v>1936.198459</v>
      </c>
      <c r="BC43" s="9">
        <v>2126.4093680000001</v>
      </c>
      <c r="BD43" s="9">
        <v>2298.290062</v>
      </c>
      <c r="BE43" s="9">
        <v>2413.309338</v>
      </c>
      <c r="BF43" s="9">
        <v>2380.5490810000001</v>
      </c>
      <c r="BH43" s="8"/>
      <c r="BI43" s="11"/>
      <c r="BM43" s="11"/>
    </row>
    <row r="44" spans="1:65" x14ac:dyDescent="0.25">
      <c r="A44" s="17" t="s">
        <v>104</v>
      </c>
      <c r="B44" s="8" t="s">
        <v>105</v>
      </c>
      <c r="C44" s="9">
        <v>233.4188</v>
      </c>
      <c r="D44" s="9">
        <v>239.31630000000001</v>
      </c>
      <c r="E44" s="9">
        <v>303.3535</v>
      </c>
      <c r="F44" s="9">
        <v>322.35599999999999</v>
      </c>
      <c r="G44" s="9">
        <v>250.12620000000001</v>
      </c>
      <c r="H44" s="9">
        <v>245.9796</v>
      </c>
      <c r="I44" s="9">
        <v>203.81780000000001</v>
      </c>
      <c r="J44" s="9">
        <v>150.7089</v>
      </c>
      <c r="K44" s="9">
        <v>86.025400000000005</v>
      </c>
      <c r="L44" s="9">
        <v>6.6185999999999998</v>
      </c>
      <c r="M44" s="9">
        <v>2.6623000000000001</v>
      </c>
      <c r="N44" s="9">
        <v>1.9802999999999999</v>
      </c>
      <c r="O44" s="9">
        <v>0</v>
      </c>
      <c r="P44" s="9"/>
      <c r="Q44" s="9">
        <v>2020.5047</v>
      </c>
      <c r="R44" s="9">
        <v>1858.6383000000001</v>
      </c>
      <c r="S44" s="9">
        <v>2164.4859999999999</v>
      </c>
      <c r="T44" s="9">
        <v>2311.7051000000001</v>
      </c>
      <c r="U44" s="9">
        <f>(1729020100+891185100)/1000000</f>
        <v>2620.2051999999999</v>
      </c>
      <c r="V44" s="9">
        <f>928.0281+1642.743</f>
        <v>2570.7710999999999</v>
      </c>
      <c r="W44" s="9">
        <f>1036.8685+1715.1553</f>
        <v>2752.0237999999999</v>
      </c>
      <c r="X44" s="9">
        <f>1004.2635+1849.1662</f>
        <v>2853.4296999999997</v>
      </c>
      <c r="Y44" s="9">
        <f>1222.4804+2272.7676</f>
        <v>3495.248</v>
      </c>
      <c r="Z44" s="9">
        <f>1514.9712+3029.6181</f>
        <v>4544.5892999999996</v>
      </c>
      <c r="AA44" s="9">
        <f>1453.9371+3332.636</f>
        <v>4786.5730999999996</v>
      </c>
      <c r="AB44" s="9">
        <f>1564.055+3036.4099</f>
        <v>4600.4648999999999</v>
      </c>
      <c r="AC44" s="9">
        <f>(1096661800+2630540200)/1000000</f>
        <v>3727.2020000000002</v>
      </c>
      <c r="AD44" s="9"/>
      <c r="AE44" s="9">
        <v>7012.0286999999998</v>
      </c>
      <c r="AF44" s="9">
        <v>7286.1644999999999</v>
      </c>
      <c r="AG44" s="9">
        <v>7706.0595000000003</v>
      </c>
      <c r="AH44" s="9">
        <v>8267.2243999999992</v>
      </c>
      <c r="AI44" s="9">
        <v>8556.7736000000004</v>
      </c>
      <c r="AJ44" s="9">
        <v>8835.1870999999992</v>
      </c>
      <c r="AK44" s="9">
        <v>9337.8176999999996</v>
      </c>
      <c r="AL44" s="9">
        <v>9619.2152000000006</v>
      </c>
      <c r="AM44" s="9">
        <v>11083.1196</v>
      </c>
      <c r="AN44" s="9">
        <v>12809.891900000001</v>
      </c>
      <c r="AO44" s="9">
        <v>13677.8735</v>
      </c>
      <c r="AP44" s="9">
        <v>13802.143899999999</v>
      </c>
      <c r="AQ44" s="9">
        <v>14502.001399999999</v>
      </c>
      <c r="AR44" s="9"/>
      <c r="AS44" s="9"/>
      <c r="AT44" s="9">
        <v>13395.5586</v>
      </c>
      <c r="AU44" s="9">
        <v>13546.230299999999</v>
      </c>
      <c r="AV44" s="9">
        <v>14552.134</v>
      </c>
      <c r="AW44" s="9">
        <v>15457.6448</v>
      </c>
      <c r="AX44" s="9">
        <v>16069.079299999999</v>
      </c>
      <c r="AY44" s="9">
        <v>16752.378199999999</v>
      </c>
      <c r="AZ44" s="9">
        <v>17411.216799999998</v>
      </c>
      <c r="BA44" s="9">
        <v>18216.957200000001</v>
      </c>
      <c r="BB44" s="9">
        <v>20400.163</v>
      </c>
      <c r="BC44" s="9">
        <v>23619.5713</v>
      </c>
      <c r="BD44" s="9">
        <v>25350.990600000001</v>
      </c>
      <c r="BE44" s="9">
        <v>26269.940699999999</v>
      </c>
      <c r="BF44" s="9">
        <v>26897.3897</v>
      </c>
      <c r="BH44" s="8"/>
      <c r="BI44" s="11"/>
      <c r="BM44" s="11"/>
    </row>
    <row r="45" spans="1:65" x14ac:dyDescent="0.25">
      <c r="A45" s="14" t="s">
        <v>106</v>
      </c>
      <c r="B45" s="8" t="s">
        <v>107</v>
      </c>
      <c r="C45" s="9" t="s">
        <v>24</v>
      </c>
      <c r="D45" s="9" t="s">
        <v>24</v>
      </c>
      <c r="E45" s="9" t="s">
        <v>24</v>
      </c>
      <c r="F45" s="9" t="s">
        <v>24</v>
      </c>
      <c r="G45" s="9" t="s">
        <v>24</v>
      </c>
      <c r="H45" s="9" t="s">
        <v>24</v>
      </c>
      <c r="I45" s="9" t="s">
        <v>24</v>
      </c>
      <c r="J45" s="9" t="s">
        <v>24</v>
      </c>
      <c r="K45" s="9" t="s">
        <v>24</v>
      </c>
      <c r="L45" s="9" t="s">
        <v>24</v>
      </c>
      <c r="M45" s="9" t="s">
        <v>24</v>
      </c>
      <c r="N45" s="9" t="s">
        <v>24</v>
      </c>
      <c r="O45" s="9" t="s">
        <v>24</v>
      </c>
      <c r="P45" s="9"/>
      <c r="Q45" s="9" t="s">
        <v>24</v>
      </c>
      <c r="R45" s="9" t="s">
        <v>24</v>
      </c>
      <c r="S45" s="9" t="s">
        <v>24</v>
      </c>
      <c r="T45" s="9" t="s">
        <v>24</v>
      </c>
      <c r="U45" s="9" t="s">
        <v>24</v>
      </c>
      <c r="V45" s="9" t="s">
        <v>24</v>
      </c>
      <c r="W45" s="9" t="s">
        <v>24</v>
      </c>
      <c r="X45" s="9" t="s">
        <v>24</v>
      </c>
      <c r="Y45" s="9" t="s">
        <v>24</v>
      </c>
      <c r="Z45" s="9" t="s">
        <v>24</v>
      </c>
      <c r="AA45" s="9" t="s">
        <v>24</v>
      </c>
      <c r="AB45" s="9" t="s">
        <v>24</v>
      </c>
      <c r="AC45" s="9" t="s">
        <v>24</v>
      </c>
      <c r="AD45" s="9"/>
      <c r="AE45" s="9">
        <v>25943.807000000001</v>
      </c>
      <c r="AF45" s="9">
        <v>27385.708999999999</v>
      </c>
      <c r="AG45" s="9">
        <v>28910.857</v>
      </c>
      <c r="AH45" s="9">
        <v>28245.800999999999</v>
      </c>
      <c r="AI45" s="9">
        <v>28900.035</v>
      </c>
      <c r="AJ45" s="9">
        <v>31937.235000000001</v>
      </c>
      <c r="AK45" s="9">
        <v>34023.915999999997</v>
      </c>
      <c r="AL45" s="9">
        <v>34099.114999999998</v>
      </c>
      <c r="AM45" s="9">
        <v>36019.605000000003</v>
      </c>
      <c r="AN45" s="9">
        <v>42971.904000000002</v>
      </c>
      <c r="AO45" s="9">
        <v>46581.072</v>
      </c>
      <c r="AP45" s="9">
        <v>47159.947</v>
      </c>
      <c r="AQ45" s="9">
        <v>49058.906716819998</v>
      </c>
      <c r="AR45" s="9"/>
      <c r="AS45" s="9"/>
      <c r="AT45" s="9">
        <v>66506.055999999997</v>
      </c>
      <c r="AU45" s="9">
        <v>70676.247000000003</v>
      </c>
      <c r="AV45" s="9">
        <v>72727.267999999996</v>
      </c>
      <c r="AW45" s="9">
        <v>71807.035999999993</v>
      </c>
      <c r="AX45" s="9">
        <v>72829.591</v>
      </c>
      <c r="AY45" s="9">
        <v>80547.051000000007</v>
      </c>
      <c r="AZ45" s="9">
        <v>86036.928</v>
      </c>
      <c r="BA45" s="9">
        <v>83459.569000000003</v>
      </c>
      <c r="BB45" s="9">
        <v>88556.354999999996</v>
      </c>
      <c r="BC45" s="9">
        <f>(183344840-72738692)/1000</f>
        <v>110606.148</v>
      </c>
      <c r="BD45" s="9">
        <f>(187788970-68707041)/1000</f>
        <v>119081.929</v>
      </c>
      <c r="BE45" s="9">
        <f>(181117486-58866331)/1000</f>
        <v>122251.155</v>
      </c>
      <c r="BF45" s="9">
        <f>(183048999.98595-59101909.27355)/1000</f>
        <v>123947.09071239999</v>
      </c>
      <c r="BH45" s="8"/>
      <c r="BI45" s="11"/>
      <c r="BM45" s="11"/>
    </row>
    <row r="46" spans="1:65" x14ac:dyDescent="0.25">
      <c r="A46" s="12" t="s">
        <v>108</v>
      </c>
      <c r="B46" s="8" t="s">
        <v>109</v>
      </c>
      <c r="C46" s="9">
        <v>2852.0222000000003</v>
      </c>
      <c r="D46" s="9">
        <v>2889.7919999999999</v>
      </c>
      <c r="E46" s="9">
        <v>3157.6689999999999</v>
      </c>
      <c r="F46" s="9">
        <v>3370.3220000000001</v>
      </c>
      <c r="G46" s="9">
        <v>3609.4540000000002</v>
      </c>
      <c r="H46" s="9">
        <v>3998.9960000000001</v>
      </c>
      <c r="I46" s="9">
        <v>4320.0420000000004</v>
      </c>
      <c r="J46" s="9">
        <v>3985.4</v>
      </c>
      <c r="K46" s="9">
        <v>6110.5110000000004</v>
      </c>
      <c r="L46" s="9">
        <v>6771.9260000000004</v>
      </c>
      <c r="M46" s="9">
        <v>6432.1419999999998</v>
      </c>
      <c r="N46" s="9">
        <v>6214.5290000000005</v>
      </c>
      <c r="O46" s="9">
        <v>6607.3559999999998</v>
      </c>
      <c r="P46" s="9"/>
      <c r="Q46" s="9">
        <v>338.173</v>
      </c>
      <c r="R46" s="9">
        <v>313.53699999999998</v>
      </c>
      <c r="S46" s="9">
        <v>373.93799999999999</v>
      </c>
      <c r="T46" s="9">
        <v>338.334</v>
      </c>
      <c r="U46" s="9">
        <v>328.46800000000002</v>
      </c>
      <c r="V46" s="9">
        <v>447.93400000000003</v>
      </c>
      <c r="W46" s="9">
        <v>520.91800000000001</v>
      </c>
      <c r="X46" s="9">
        <v>355.875</v>
      </c>
      <c r="Y46" s="9">
        <v>742.697</v>
      </c>
      <c r="Z46" s="9">
        <v>937.04499999999996</v>
      </c>
      <c r="AA46" s="9">
        <v>869.90300000000002</v>
      </c>
      <c r="AB46" s="9">
        <v>883.39</v>
      </c>
      <c r="AC46" s="9">
        <v>948.52</v>
      </c>
      <c r="AD46" s="9"/>
      <c r="AE46" s="9">
        <v>1615.9365</v>
      </c>
      <c r="AF46" s="9">
        <v>1656.806</v>
      </c>
      <c r="AG46" s="9">
        <v>1714.954</v>
      </c>
      <c r="AH46" s="9">
        <v>1778.5239999999999</v>
      </c>
      <c r="AI46" s="9">
        <v>1856.7539999999999</v>
      </c>
      <c r="AJ46" s="9">
        <v>2018.7470000000001</v>
      </c>
      <c r="AK46" s="9">
        <v>2116.2550000000001</v>
      </c>
      <c r="AL46" s="9">
        <v>2265.2930000000001</v>
      </c>
      <c r="AM46" s="9">
        <v>2625.3180000000002</v>
      </c>
      <c r="AN46" s="9">
        <v>3098.4769999999999</v>
      </c>
      <c r="AO46" s="9">
        <v>3262.8119999999999</v>
      </c>
      <c r="AP46" s="9">
        <v>3315.5549999999998</v>
      </c>
      <c r="AQ46" s="9">
        <v>3412.47</v>
      </c>
      <c r="AR46" s="9"/>
      <c r="AS46" s="9"/>
      <c r="AT46" s="9">
        <v>5768.4295000000002</v>
      </c>
      <c r="AU46" s="9">
        <v>5860.2389999999996</v>
      </c>
      <c r="AV46" s="9">
        <v>6252.3670000000002</v>
      </c>
      <c r="AW46" s="9">
        <v>6500.7860000000001</v>
      </c>
      <c r="AX46" s="9">
        <v>6894.9120000000003</v>
      </c>
      <c r="AY46" s="9">
        <v>7622.9639999999999</v>
      </c>
      <c r="AZ46" s="9">
        <v>8162.9</v>
      </c>
      <c r="BA46" s="9">
        <v>7858.348</v>
      </c>
      <c r="BB46" s="9">
        <v>10733.28</v>
      </c>
      <c r="BC46" s="9">
        <v>12218.982</v>
      </c>
      <c r="BD46" s="9">
        <v>12260.540999999999</v>
      </c>
      <c r="BE46" s="9">
        <v>12291.518</v>
      </c>
      <c r="BF46" s="9">
        <v>12844.638000000001</v>
      </c>
      <c r="BH46" s="8"/>
      <c r="BI46" s="11"/>
      <c r="BM46" s="11"/>
    </row>
    <row r="47" spans="1:65" x14ac:dyDescent="0.25">
      <c r="A47" s="14" t="s">
        <v>110</v>
      </c>
      <c r="B47" s="8" t="s">
        <v>111</v>
      </c>
      <c r="C47" s="9">
        <v>660.6</v>
      </c>
      <c r="D47" s="9">
        <v>671.1</v>
      </c>
      <c r="E47" s="9">
        <v>705.9</v>
      </c>
      <c r="F47" s="9">
        <v>747</v>
      </c>
      <c r="G47" s="9">
        <v>756.5</v>
      </c>
      <c r="H47" s="9">
        <v>831.97076600000003</v>
      </c>
      <c r="I47" s="9">
        <v>875.425522</v>
      </c>
      <c r="J47" s="9">
        <v>925.8</v>
      </c>
      <c r="K47" s="9">
        <v>1069.8</v>
      </c>
      <c r="L47" s="9">
        <v>1267.7769820000001</v>
      </c>
      <c r="M47" s="9">
        <v>1209.9711809999999</v>
      </c>
      <c r="N47" s="9">
        <v>1243.0692340000001</v>
      </c>
      <c r="O47" s="9">
        <v>1362.9</v>
      </c>
      <c r="P47" s="9"/>
      <c r="Q47" s="9">
        <v>95</v>
      </c>
      <c r="R47" s="9">
        <v>94.8</v>
      </c>
      <c r="S47" s="9">
        <v>121.9</v>
      </c>
      <c r="T47" s="9">
        <v>117</v>
      </c>
      <c r="U47" s="9">
        <v>95.8</v>
      </c>
      <c r="V47" s="9">
        <v>96.363558999999995</v>
      </c>
      <c r="W47" s="9">
        <v>134.190797</v>
      </c>
      <c r="X47" s="9">
        <v>147.9</v>
      </c>
      <c r="Y47" s="9">
        <v>133.4</v>
      </c>
      <c r="Z47" s="9">
        <v>223.26148499999999</v>
      </c>
      <c r="AA47" s="9">
        <v>281.36931800000002</v>
      </c>
      <c r="AB47" s="9">
        <v>238.81252699999999</v>
      </c>
      <c r="AC47" s="9">
        <v>272.60000000000002</v>
      </c>
      <c r="AD47" s="9"/>
      <c r="AE47" s="9">
        <v>346.8</v>
      </c>
      <c r="AF47" s="9">
        <v>353.6</v>
      </c>
      <c r="AG47" s="9">
        <v>364.6</v>
      </c>
      <c r="AH47" s="9">
        <v>370.7</v>
      </c>
      <c r="AI47" s="9">
        <v>376.7</v>
      </c>
      <c r="AJ47" s="9">
        <v>397.78506499999997</v>
      </c>
      <c r="AK47" s="9">
        <v>412.50922600000001</v>
      </c>
      <c r="AL47" s="9">
        <v>432.5</v>
      </c>
      <c r="AM47" s="9">
        <v>507.6</v>
      </c>
      <c r="AN47" s="9">
        <v>545.18197899999996</v>
      </c>
      <c r="AO47" s="9">
        <v>584.04753500000004</v>
      </c>
      <c r="AP47" s="9">
        <v>595.17828599999996</v>
      </c>
      <c r="AQ47" s="9">
        <v>618.1</v>
      </c>
      <c r="AR47" s="9"/>
      <c r="AS47" s="9"/>
      <c r="AT47" s="9">
        <v>1520.8999999999999</v>
      </c>
      <c r="AU47" s="9">
        <v>1567.7</v>
      </c>
      <c r="AV47" s="9">
        <v>1625.7</v>
      </c>
      <c r="AW47" s="9">
        <v>1673.7</v>
      </c>
      <c r="AX47" s="9">
        <v>1717.5</v>
      </c>
      <c r="AY47" s="9">
        <f>1667.2+87+71.1</f>
        <v>1825.3</v>
      </c>
      <c r="AZ47" s="9">
        <f>1763+93.9+68.4</f>
        <v>1925.3000000000002</v>
      </c>
      <c r="BA47" s="9">
        <f>1829.7+84.8+71.4</f>
        <v>1985.9</v>
      </c>
      <c r="BB47" s="9">
        <f>2068.5+84.1+77.5</f>
        <v>2230.1</v>
      </c>
      <c r="BC47" s="9">
        <f>2468.2+83.9+76</f>
        <v>2628.1</v>
      </c>
      <c r="BD47" s="9">
        <f>2536.1+143.1+74.8</f>
        <v>2754</v>
      </c>
      <c r="BE47" s="9">
        <f>2560.1+181.7+70</f>
        <v>2811.7999999999997</v>
      </c>
      <c r="BF47" s="9">
        <f>2805.3+153.3+67.4</f>
        <v>3026.0000000000005</v>
      </c>
      <c r="BG47" s="1"/>
      <c r="BH47" s="8"/>
      <c r="BI47" s="11"/>
      <c r="BM47" s="11"/>
    </row>
    <row r="48" spans="1:65" x14ac:dyDescent="0.25">
      <c r="A48" s="14" t="s">
        <v>112</v>
      </c>
      <c r="B48" s="8" t="s">
        <v>113</v>
      </c>
      <c r="C48" s="9">
        <v>11340</v>
      </c>
      <c r="D48" s="9">
        <v>11253.3</v>
      </c>
      <c r="E48" s="9">
        <v>12328.7</v>
      </c>
      <c r="F48" s="9">
        <v>12555.6</v>
      </c>
      <c r="G48" s="9">
        <v>13052.9</v>
      </c>
      <c r="H48" s="9">
        <v>14105.776</v>
      </c>
      <c r="I48" s="9">
        <v>15226.471</v>
      </c>
      <c r="J48" s="9">
        <v>15351.6</v>
      </c>
      <c r="K48" s="9">
        <v>17303.7</v>
      </c>
      <c r="L48" s="9">
        <v>20410.2</v>
      </c>
      <c r="M48" s="9">
        <v>18983.556</v>
      </c>
      <c r="N48" s="9">
        <v>20310.405999999999</v>
      </c>
      <c r="O48" s="9">
        <v>21892.441999999999</v>
      </c>
      <c r="P48" s="9"/>
      <c r="Q48" s="9">
        <v>796.7</v>
      </c>
      <c r="R48" s="9">
        <v>757.5</v>
      </c>
      <c r="S48" s="9">
        <v>831.9</v>
      </c>
      <c r="T48" s="9">
        <v>764.9</v>
      </c>
      <c r="U48" s="9">
        <v>827</v>
      </c>
      <c r="V48" s="9">
        <v>861.89700000000005</v>
      </c>
      <c r="W48" s="9">
        <v>943.39099999999996</v>
      </c>
      <c r="X48" s="9">
        <v>1011.7</v>
      </c>
      <c r="Y48" s="9">
        <v>1515.7</v>
      </c>
      <c r="Z48" s="9">
        <v>1978.7</v>
      </c>
      <c r="AA48" s="9">
        <v>2031.1</v>
      </c>
      <c r="AB48" s="9">
        <v>1907.0650000000001</v>
      </c>
      <c r="AC48" s="9">
        <v>1878.586</v>
      </c>
      <c r="AD48" s="9"/>
      <c r="AE48" s="9">
        <f>3219.8+521.2</f>
        <v>3741</v>
      </c>
      <c r="AF48" s="9">
        <f>3066.5+822.6</f>
        <v>3889.1</v>
      </c>
      <c r="AG48" s="9">
        <f>3235.4+994.9</f>
        <v>4230.3</v>
      </c>
      <c r="AH48" s="9">
        <f>3295.9+1000.5</f>
        <v>4296.3999999999996</v>
      </c>
      <c r="AI48" s="9">
        <f>3357.1+1020.4</f>
        <v>4377.5</v>
      </c>
      <c r="AJ48" s="9">
        <f>3461.772+1043.805</f>
        <v>4505.5770000000002</v>
      </c>
      <c r="AK48" s="9">
        <f>3580.355+1087.842</f>
        <v>4668.1970000000001</v>
      </c>
      <c r="AL48" s="9">
        <f>3706.8+1124.2</f>
        <v>4831</v>
      </c>
      <c r="AM48" s="9">
        <f>4166.2+1264.1</f>
        <v>5430.2999999999993</v>
      </c>
      <c r="AN48" s="9">
        <f>4558.1+1368.3</f>
        <v>5926.4000000000005</v>
      </c>
      <c r="AO48" s="9">
        <f>4734.549+1416.7</f>
        <v>6151.2489999999998</v>
      </c>
      <c r="AP48" s="9">
        <f>4709.661+1377.114</f>
        <v>6086.7749999999996</v>
      </c>
      <c r="AQ48" s="9">
        <f>4812.737+1412.43</f>
        <v>6225.1670000000004</v>
      </c>
      <c r="AR48" s="9"/>
      <c r="AS48" s="9"/>
      <c r="AT48" s="9">
        <f>16684.6+2493.6</f>
        <v>19178.199999999997</v>
      </c>
      <c r="AU48" s="9">
        <f>16411.4+2806.3</f>
        <v>19217.7</v>
      </c>
      <c r="AV48" s="9">
        <f>17735.6+3137.2</f>
        <v>20872.8</v>
      </c>
      <c r="AW48" s="9">
        <f>18040.1+3355.6</f>
        <v>21395.699999999997</v>
      </c>
      <c r="AX48" s="9">
        <f>18695.1+3452.2</f>
        <v>22147.3</v>
      </c>
      <c r="AY48" s="9">
        <f>19880.8+3457.1</f>
        <v>23337.899999999998</v>
      </c>
      <c r="AZ48" s="9">
        <f>21307.5+3555.2</f>
        <v>24862.7</v>
      </c>
      <c r="BA48" s="9">
        <f>21737.8+3605.4</f>
        <v>25343.200000000001</v>
      </c>
      <c r="BB48" s="9">
        <f>24878.5+4133.6</f>
        <v>29012.1</v>
      </c>
      <c r="BC48" s="9">
        <f>28934.9+4594.1</f>
        <v>33529</v>
      </c>
      <c r="BD48" s="9">
        <f>27909.9+4817.7</f>
        <v>32727.600000000002</v>
      </c>
      <c r="BE48" s="9">
        <f>29448.224+4872.417</f>
        <v>34320.640999999996</v>
      </c>
      <c r="BF48" s="9">
        <f>31233.034+5111.407</f>
        <v>36344.440999999999</v>
      </c>
      <c r="BH48" s="8"/>
      <c r="BI48" s="11"/>
      <c r="BM48" s="11"/>
    </row>
    <row r="49" spans="1:65" x14ac:dyDescent="0.25">
      <c r="A49" s="7" t="s">
        <v>114</v>
      </c>
      <c r="B49" s="8" t="s">
        <v>115</v>
      </c>
      <c r="C49" s="9" t="s">
        <v>24</v>
      </c>
      <c r="D49" s="9" t="s">
        <v>24</v>
      </c>
      <c r="E49" s="9" t="s">
        <v>24</v>
      </c>
      <c r="F49" s="9" t="s">
        <v>24</v>
      </c>
      <c r="G49" s="9" t="s">
        <v>24</v>
      </c>
      <c r="H49" s="9" t="s">
        <v>24</v>
      </c>
      <c r="I49" s="9" t="s">
        <v>24</v>
      </c>
      <c r="J49" s="9" t="s">
        <v>24</v>
      </c>
      <c r="K49" s="9" t="s">
        <v>24</v>
      </c>
      <c r="L49" s="9" t="s">
        <v>24</v>
      </c>
      <c r="M49" s="9" t="s">
        <v>24</v>
      </c>
      <c r="N49" s="9" t="s">
        <v>24</v>
      </c>
      <c r="O49" s="9" t="s">
        <v>24</v>
      </c>
      <c r="P49" s="9"/>
      <c r="Q49" s="9" t="s">
        <v>24</v>
      </c>
      <c r="R49" s="9" t="s">
        <v>24</v>
      </c>
      <c r="S49" s="9" t="s">
        <v>24</v>
      </c>
      <c r="T49" s="9" t="s">
        <v>24</v>
      </c>
      <c r="U49" s="9" t="s">
        <v>24</v>
      </c>
      <c r="V49" s="9" t="s">
        <v>24</v>
      </c>
      <c r="W49" s="9" t="s">
        <v>24</v>
      </c>
      <c r="X49" s="9" t="s">
        <v>24</v>
      </c>
      <c r="Y49" s="9" t="s">
        <v>24</v>
      </c>
      <c r="Z49" s="9" t="s">
        <v>24</v>
      </c>
      <c r="AA49" s="9" t="s">
        <v>24</v>
      </c>
      <c r="AB49" s="9" t="s">
        <v>24</v>
      </c>
      <c r="AC49" s="9" t="s">
        <v>24</v>
      </c>
      <c r="AD49" s="9"/>
      <c r="AE49" s="9">
        <v>7686.8590000000004</v>
      </c>
      <c r="AF49" s="9">
        <v>8236.8389999999999</v>
      </c>
      <c r="AG49" s="9">
        <v>8793.24</v>
      </c>
      <c r="AH49" s="9">
        <v>9563.0930000000008</v>
      </c>
      <c r="AI49" s="9">
        <v>10132.787</v>
      </c>
      <c r="AJ49" s="9">
        <v>10924.744000000001</v>
      </c>
      <c r="AK49" s="9">
        <v>11872.905000000001</v>
      </c>
      <c r="AL49" s="9">
        <f>11296.2+719.2</f>
        <v>12015.400000000001</v>
      </c>
      <c r="AM49" s="9">
        <f>12454.9+835.3</f>
        <v>13290.199999999999</v>
      </c>
      <c r="AN49" s="9">
        <f>14001+897</f>
        <v>14898</v>
      </c>
      <c r="AO49" s="9">
        <f>14795.6+1010.1</f>
        <v>15805.7</v>
      </c>
      <c r="AP49" s="9">
        <f>14769.9+984.4</f>
        <v>15754.3</v>
      </c>
      <c r="AQ49" s="9">
        <f>15071.1+1043</f>
        <v>16114.1</v>
      </c>
      <c r="AR49" s="9"/>
      <c r="AS49" s="9"/>
      <c r="AT49" s="9">
        <v>15783</v>
      </c>
      <c r="AU49" s="9">
        <v>16383</v>
      </c>
      <c r="AV49" s="9">
        <v>17283</v>
      </c>
      <c r="AW49" s="9">
        <v>18579</v>
      </c>
      <c r="AX49" s="9">
        <v>19739</v>
      </c>
      <c r="AY49" s="9">
        <v>21712</v>
      </c>
      <c r="AZ49" s="9">
        <v>22430</v>
      </c>
      <c r="BA49" s="9">
        <v>23817</v>
      </c>
      <c r="BB49" s="9">
        <v>26986.1</v>
      </c>
      <c r="BC49" s="9">
        <v>30029.7</v>
      </c>
      <c r="BD49" s="9">
        <v>30971.9</v>
      </c>
      <c r="BE49" s="9">
        <v>31093.5</v>
      </c>
      <c r="BF49" s="9">
        <v>32298.799999999999</v>
      </c>
      <c r="BH49" s="8"/>
      <c r="BI49" s="11"/>
      <c r="BM49" s="11"/>
    </row>
    <row r="50" spans="1:65" x14ac:dyDescent="0.25">
      <c r="A50" s="14" t="s">
        <v>116</v>
      </c>
      <c r="B50" s="8" t="s">
        <v>117</v>
      </c>
      <c r="C50" s="9">
        <v>1700.547</v>
      </c>
      <c r="D50" s="9">
        <v>1664.066</v>
      </c>
      <c r="E50" s="9">
        <v>1840.056</v>
      </c>
      <c r="F50" s="9">
        <v>1803.3109999999999</v>
      </c>
      <c r="G50" s="9">
        <v>1813.867</v>
      </c>
      <c r="H50" s="9">
        <v>1919.57</v>
      </c>
      <c r="I50" s="9">
        <v>2096.8069999999998</v>
      </c>
      <c r="J50" s="9">
        <v>1947.9459999999999</v>
      </c>
      <c r="K50" s="9">
        <v>2253.788</v>
      </c>
      <c r="L50" s="9">
        <v>2502.828</v>
      </c>
      <c r="M50" s="9">
        <v>2663.5680000000002</v>
      </c>
      <c r="N50" s="9">
        <v>2239.8589999999999</v>
      </c>
      <c r="O50" s="9">
        <v>2126.3960000000002</v>
      </c>
      <c r="P50" s="9"/>
      <c r="Q50" s="9">
        <v>238.13</v>
      </c>
      <c r="R50" s="9">
        <v>203.50800000000001</v>
      </c>
      <c r="S50" s="9">
        <v>186.101</v>
      </c>
      <c r="T50" s="9">
        <v>143.60499999999999</v>
      </c>
      <c r="U50" s="9">
        <v>116.306</v>
      </c>
      <c r="V50" s="9">
        <v>110.068</v>
      </c>
      <c r="W50" s="9">
        <v>198.03200000000001</v>
      </c>
      <c r="X50" s="9">
        <v>151.988</v>
      </c>
      <c r="Y50" s="9">
        <v>320.48700000000002</v>
      </c>
      <c r="Z50" s="9">
        <v>366.31599999999997</v>
      </c>
      <c r="AA50" s="9">
        <v>419.96499999999997</v>
      </c>
      <c r="AB50" s="9">
        <v>465.46300000000002</v>
      </c>
      <c r="AC50" s="9">
        <v>376.21899999999999</v>
      </c>
      <c r="AD50" s="9"/>
      <c r="AE50" s="9">
        <v>1193.29</v>
      </c>
      <c r="AF50" s="9">
        <v>1173.097</v>
      </c>
      <c r="AG50" s="9">
        <v>1228.221</v>
      </c>
      <c r="AH50" s="9">
        <v>1231.0440000000001</v>
      </c>
      <c r="AI50" s="9">
        <v>1222.2829999999999</v>
      </c>
      <c r="AJ50" s="9">
        <v>1247.0309999999999</v>
      </c>
      <c r="AK50" s="9">
        <v>1370.1569999999999</v>
      </c>
      <c r="AL50" s="9">
        <v>1386.5709999999999</v>
      </c>
      <c r="AM50" s="9">
        <v>1537.2449999999999</v>
      </c>
      <c r="AN50" s="9">
        <v>1655.4829999999999</v>
      </c>
      <c r="AO50" s="9">
        <v>1750.434</v>
      </c>
      <c r="AP50" s="9">
        <v>1816.5440000000001</v>
      </c>
      <c r="AQ50" s="9">
        <v>1821.2470000000001</v>
      </c>
      <c r="AR50" s="9"/>
      <c r="AS50" s="9"/>
      <c r="AT50" s="9">
        <v>4059.1210000000001</v>
      </c>
      <c r="AU50" s="9">
        <v>4106.1059999999998</v>
      </c>
      <c r="AV50" s="9">
        <v>4203.8100000000004</v>
      </c>
      <c r="AW50" s="9">
        <v>4102.6790000000001</v>
      </c>
      <c r="AX50" s="9">
        <v>4166.51</v>
      </c>
      <c r="AY50" s="9">
        <v>4245.2579999999998</v>
      </c>
      <c r="AZ50" s="9">
        <v>4756.3360000000002</v>
      </c>
      <c r="BA50" s="9">
        <v>4494.857</v>
      </c>
      <c r="BB50" s="9">
        <v>4987.5770000000002</v>
      </c>
      <c r="BC50" s="9">
        <v>5887.8990000000003</v>
      </c>
      <c r="BD50" s="9">
        <v>6483.2910000000002</v>
      </c>
      <c r="BE50" s="9">
        <v>5710.5749999999998</v>
      </c>
      <c r="BF50" s="9">
        <v>5519.3630000000003</v>
      </c>
      <c r="BH50" s="8"/>
      <c r="BI50" s="11"/>
      <c r="BM50" s="11"/>
    </row>
    <row r="51" spans="1:65" x14ac:dyDescent="0.25">
      <c r="A51" s="12" t="s">
        <v>118</v>
      </c>
      <c r="B51" s="8" t="s">
        <v>119</v>
      </c>
      <c r="C51" s="9">
        <v>7496.9</v>
      </c>
      <c r="D51" s="9">
        <v>7061.4</v>
      </c>
      <c r="E51" s="9">
        <v>7325.8</v>
      </c>
      <c r="F51" s="9">
        <v>7740.8</v>
      </c>
      <c r="G51" s="9">
        <v>8039.4538854400007</v>
      </c>
      <c r="H51" s="9">
        <v>8479.0531900600017</v>
      </c>
      <c r="I51" s="9">
        <v>8994.0961516889056</v>
      </c>
      <c r="J51" s="9">
        <v>8742.2663322299995</v>
      </c>
      <c r="K51" s="9">
        <v>9283.4</v>
      </c>
      <c r="L51" s="9">
        <v>9214.4</v>
      </c>
      <c r="M51" s="9">
        <v>9414.7000000000007</v>
      </c>
      <c r="N51" s="9">
        <v>9717.591979169998</v>
      </c>
      <c r="O51" s="9">
        <v>10451.1</v>
      </c>
      <c r="P51" s="9"/>
      <c r="Q51" s="9">
        <v>925.4</v>
      </c>
      <c r="R51" s="9">
        <v>967.2</v>
      </c>
      <c r="S51" s="9">
        <v>1004.9</v>
      </c>
      <c r="T51" s="9">
        <v>963</v>
      </c>
      <c r="U51" s="9">
        <v>921.00102096000001</v>
      </c>
      <c r="V51" s="9">
        <v>893.98872308999989</v>
      </c>
      <c r="W51" s="9">
        <v>1338.0633270710935</v>
      </c>
      <c r="X51" s="9">
        <v>1607.8726706899999</v>
      </c>
      <c r="Y51" s="9">
        <v>2560.1</v>
      </c>
      <c r="Z51" s="9">
        <v>2960</v>
      </c>
      <c r="AA51" s="9">
        <v>2748.5</v>
      </c>
      <c r="AB51" s="9">
        <v>2702.1</v>
      </c>
      <c r="AC51" s="9">
        <v>2761.7</v>
      </c>
      <c r="AD51" s="9"/>
      <c r="AE51" s="9">
        <v>4410.1000000000004</v>
      </c>
      <c r="AF51" s="9">
        <v>4628.3</v>
      </c>
      <c r="AG51" s="9">
        <v>4892.1000000000004</v>
      </c>
      <c r="AH51" s="9">
        <v>5065.8</v>
      </c>
      <c r="AI51" s="9">
        <v>5223.8999999999996</v>
      </c>
      <c r="AJ51" s="9">
        <v>5448.1170000000002</v>
      </c>
      <c r="AK51" s="9">
        <v>5695.5483784899998</v>
      </c>
      <c r="AL51" s="9">
        <v>5836.2149516400004</v>
      </c>
      <c r="AM51" s="9">
        <v>6373.5</v>
      </c>
      <c r="AN51" s="9">
        <v>6978.3</v>
      </c>
      <c r="AO51" s="9">
        <v>7456.1</v>
      </c>
      <c r="AP51" s="9">
        <v>7587.5</v>
      </c>
      <c r="AQ51" s="9">
        <v>7831.6</v>
      </c>
      <c r="AR51" s="9"/>
      <c r="AS51" s="9"/>
      <c r="AT51" s="9">
        <v>14085.6</v>
      </c>
      <c r="AU51" s="9">
        <v>13948.1</v>
      </c>
      <c r="AV51" s="9">
        <v>14541.2</v>
      </c>
      <c r="AW51" s="9">
        <v>15097.5</v>
      </c>
      <c r="AX51" s="9">
        <v>15517.6</v>
      </c>
      <c r="AY51" s="9">
        <v>16144.2</v>
      </c>
      <c r="AZ51" s="9">
        <v>17341.400000000001</v>
      </c>
      <c r="BA51" s="9">
        <v>17532.17151385</v>
      </c>
      <c r="BB51" s="9">
        <v>19572.8</v>
      </c>
      <c r="BC51" s="9">
        <v>20548.400000000001</v>
      </c>
      <c r="BD51" s="9">
        <v>20974</v>
      </c>
      <c r="BE51" s="9">
        <v>21329.599999999999</v>
      </c>
      <c r="BF51" s="9">
        <v>22362.9</v>
      </c>
      <c r="BH51" s="8"/>
      <c r="BI51" s="11"/>
      <c r="BL51" s="22"/>
      <c r="BM51" s="22"/>
    </row>
    <row r="52" spans="1:65" x14ac:dyDescent="0.25">
      <c r="A52" s="12" t="s">
        <v>120</v>
      </c>
      <c r="B52" s="8" t="s">
        <v>121</v>
      </c>
      <c r="C52" s="9" t="s">
        <v>24</v>
      </c>
      <c r="D52" s="9" t="s">
        <v>24</v>
      </c>
      <c r="E52" s="9" t="s">
        <v>24</v>
      </c>
      <c r="F52" s="9" t="s">
        <v>24</v>
      </c>
      <c r="G52" s="9" t="s">
        <v>24</v>
      </c>
      <c r="H52" s="9" t="s">
        <v>24</v>
      </c>
      <c r="I52" s="9" t="s">
        <v>24</v>
      </c>
      <c r="J52" s="9" t="s">
        <v>24</v>
      </c>
      <c r="K52" s="9" t="s">
        <v>24</v>
      </c>
      <c r="L52" s="9" t="s">
        <v>24</v>
      </c>
      <c r="M52" s="9" t="s">
        <v>24</v>
      </c>
      <c r="N52" s="9" t="s">
        <v>24</v>
      </c>
      <c r="O52" s="9" t="s">
        <v>24</v>
      </c>
      <c r="P52" s="9"/>
      <c r="Q52" s="9" t="s">
        <v>24</v>
      </c>
      <c r="R52" s="9" t="s">
        <v>24</v>
      </c>
      <c r="S52" s="9" t="s">
        <v>24</v>
      </c>
      <c r="T52" s="9" t="s">
        <v>24</v>
      </c>
      <c r="U52" s="9" t="s">
        <v>24</v>
      </c>
      <c r="V52" s="9" t="s">
        <v>24</v>
      </c>
      <c r="W52" s="9" t="s">
        <v>24</v>
      </c>
      <c r="X52" s="9" t="s">
        <v>24</v>
      </c>
      <c r="Y52" s="9" t="s">
        <v>24</v>
      </c>
      <c r="Z52" s="9" t="s">
        <v>24</v>
      </c>
      <c r="AA52" s="9" t="s">
        <v>24</v>
      </c>
      <c r="AB52" s="9" t="s">
        <v>24</v>
      </c>
      <c r="AC52" s="9" t="s">
        <v>24</v>
      </c>
      <c r="AD52" s="9"/>
      <c r="AE52" s="9">
        <v>481.43138599999997</v>
      </c>
      <c r="AF52" s="9">
        <v>521.10260600000004</v>
      </c>
      <c r="AG52" s="9">
        <v>544.03017199999999</v>
      </c>
      <c r="AH52" s="9">
        <v>432.00855799999999</v>
      </c>
      <c r="AI52" s="9">
        <v>407.31582300000002</v>
      </c>
      <c r="AJ52" s="9">
        <v>480.04428100000001</v>
      </c>
      <c r="AK52" s="9">
        <v>518.52162499999997</v>
      </c>
      <c r="AL52" s="9">
        <v>487.23252500000001</v>
      </c>
      <c r="AM52" s="9">
        <v>493.10190799999998</v>
      </c>
      <c r="AN52" s="9">
        <v>562.54958899999997</v>
      </c>
      <c r="AO52" s="9">
        <v>635.93381299999999</v>
      </c>
      <c r="AP52" s="9">
        <v>646.92330300000003</v>
      </c>
      <c r="AQ52" s="9">
        <v>635.79614000000004</v>
      </c>
      <c r="AR52" s="9"/>
      <c r="AS52" s="9"/>
      <c r="AT52" s="9">
        <v>1381.204817</v>
      </c>
      <c r="AU52" s="9">
        <v>1382.3766820000001</v>
      </c>
      <c r="AV52" s="9">
        <v>1509.088522</v>
      </c>
      <c r="AW52" s="9">
        <v>1001.252237</v>
      </c>
      <c r="AX52" s="9">
        <v>1173.0460969999999</v>
      </c>
      <c r="AY52" s="9">
        <v>1393.5513169999999</v>
      </c>
      <c r="AZ52" s="9">
        <v>1394.285153</v>
      </c>
      <c r="BA52" s="9">
        <v>1201.3163070000001</v>
      </c>
      <c r="BB52" s="9">
        <v>1407.987308</v>
      </c>
      <c r="BC52" s="9">
        <v>1491.72993</v>
      </c>
      <c r="BD52" s="9">
        <v>1394.5026069999999</v>
      </c>
      <c r="BE52" s="9">
        <v>1664.04412</v>
      </c>
      <c r="BF52" s="9">
        <v>2026.711378</v>
      </c>
      <c r="BH52" s="8"/>
      <c r="BI52" s="11"/>
    </row>
    <row r="53" spans="1:65" s="22" customFormat="1" x14ac:dyDescent="0.25">
      <c r="A53" s="22" t="s">
        <v>122</v>
      </c>
      <c r="B53" s="23" t="s">
        <v>123</v>
      </c>
      <c r="C53" s="24">
        <f>SUM(C3:C52)</f>
        <v>309889.83981739002</v>
      </c>
      <c r="D53" s="24">
        <f t="shared" ref="D53:O53" si="0">SUM(D3:D52)</f>
        <v>313514.12803758821</v>
      </c>
      <c r="E53" s="24">
        <f t="shared" si="0"/>
        <v>337138.26217610942</v>
      </c>
      <c r="F53" s="24">
        <f t="shared" si="0"/>
        <v>345512.71819899994</v>
      </c>
      <c r="G53" s="24">
        <f t="shared" si="0"/>
        <v>356051.38522374013</v>
      </c>
      <c r="H53" s="24">
        <f t="shared" si="0"/>
        <v>393322.43137006008</v>
      </c>
      <c r="I53" s="24">
        <f t="shared" si="0"/>
        <v>408518.86248368892</v>
      </c>
      <c r="J53" s="24">
        <f t="shared" si="0"/>
        <v>407037.92560523003</v>
      </c>
      <c r="K53" s="24">
        <f t="shared" si="0"/>
        <v>486914.55074900005</v>
      </c>
      <c r="L53" s="24">
        <f t="shared" si="0"/>
        <v>555964.57541999989</v>
      </c>
      <c r="M53" s="24">
        <f t="shared" si="0"/>
        <v>488774.5359722299</v>
      </c>
      <c r="N53" s="24">
        <f t="shared" si="0"/>
        <v>495015.87692277995</v>
      </c>
      <c r="O53" s="24">
        <f t="shared" si="0"/>
        <v>519912.10476500005</v>
      </c>
      <c r="P53" s="24"/>
      <c r="Q53" s="24">
        <f t="shared" ref="Q53:AC53" si="1">SUM(Q3:Q52)</f>
        <v>48867.190800699689</v>
      </c>
      <c r="R53" s="24">
        <f t="shared" si="1"/>
        <v>50153.460423508899</v>
      </c>
      <c r="S53" s="24">
        <f t="shared" si="1"/>
        <v>53022.062133430001</v>
      </c>
      <c r="T53" s="24">
        <f t="shared" si="1"/>
        <v>50896.760094760008</v>
      </c>
      <c r="U53" s="24">
        <f t="shared" si="1"/>
        <v>49304.67685814001</v>
      </c>
      <c r="V53" s="24">
        <f t="shared" si="1"/>
        <v>52866.410094089995</v>
      </c>
      <c r="W53" s="24">
        <f t="shared" si="1"/>
        <v>64769.585277071099</v>
      </c>
      <c r="X53" s="24">
        <f t="shared" si="1"/>
        <v>61366.891676690007</v>
      </c>
      <c r="Y53" s="24">
        <f t="shared" si="1"/>
        <v>88386.439058999982</v>
      </c>
      <c r="Z53" s="24">
        <f t="shared" si="1"/>
        <v>144779.65786000004</v>
      </c>
      <c r="AA53" s="24">
        <f t="shared" si="1"/>
        <v>143924.97105231002</v>
      </c>
      <c r="AB53" s="24">
        <f t="shared" si="1"/>
        <v>140715.73948785002</v>
      </c>
      <c r="AC53" s="24">
        <f t="shared" si="1"/>
        <v>141613.62465700001</v>
      </c>
      <c r="AD53" s="24"/>
      <c r="AE53" s="24">
        <f t="shared" ref="AE53:AQ53" si="2">SUM(AE3:AE52)</f>
        <v>223438.39125148003</v>
      </c>
      <c r="AF53" s="24">
        <f t="shared" si="2"/>
        <v>234180.28257237998</v>
      </c>
      <c r="AG53" s="24">
        <f t="shared" si="2"/>
        <v>245882.69630715004</v>
      </c>
      <c r="AH53" s="24">
        <f t="shared" si="2"/>
        <v>252413.75636404005</v>
      </c>
      <c r="AI53" s="24">
        <f t="shared" si="2"/>
        <v>259657.87573979009</v>
      </c>
      <c r="AJ53" s="24">
        <f t="shared" si="2"/>
        <v>270991.61509400001</v>
      </c>
      <c r="AK53" s="24">
        <f t="shared" si="2"/>
        <v>284487.75361049006</v>
      </c>
      <c r="AL53" s="24">
        <f t="shared" si="2"/>
        <v>285496.72809364006</v>
      </c>
      <c r="AM53" s="24">
        <f t="shared" si="2"/>
        <v>314194.86334900011</v>
      </c>
      <c r="AN53" s="24">
        <f t="shared" si="2"/>
        <v>360928.77419299999</v>
      </c>
      <c r="AO53" s="24">
        <f t="shared" si="2"/>
        <v>380060.28979900002</v>
      </c>
      <c r="AP53" s="24">
        <f t="shared" si="2"/>
        <v>384752.33045641991</v>
      </c>
      <c r="AQ53" s="24">
        <f t="shared" si="2"/>
        <v>378516.23356581992</v>
      </c>
      <c r="AR53" s="24"/>
      <c r="AS53" s="24"/>
      <c r="AT53" s="24">
        <f t="shared" ref="AT53:BF53" si="3">SUM(AT3:AT52)</f>
        <v>765394.23562418635</v>
      </c>
      <c r="AU53" s="24">
        <f t="shared" si="3"/>
        <v>784227.65078699973</v>
      </c>
      <c r="AV53" s="24">
        <f t="shared" si="3"/>
        <v>822369.10174300021</v>
      </c>
      <c r="AW53" s="24">
        <f t="shared" si="3"/>
        <v>830716.94151499972</v>
      </c>
      <c r="AX53" s="24">
        <f t="shared" si="3"/>
        <v>857649.95849900006</v>
      </c>
      <c r="AY53" s="24">
        <f t="shared" si="3"/>
        <v>920553.96945400001</v>
      </c>
      <c r="AZ53" s="24">
        <f t="shared" si="3"/>
        <v>967286.3508609999</v>
      </c>
      <c r="BA53" s="24">
        <f t="shared" si="3"/>
        <v>956128.51490776252</v>
      </c>
      <c r="BB53" s="24">
        <f t="shared" si="3"/>
        <v>1129071.5858976603</v>
      </c>
      <c r="BC53" s="24">
        <f t="shared" si="3"/>
        <v>1304724.5435948698</v>
      </c>
      <c r="BD53" s="24">
        <f t="shared" si="3"/>
        <v>1281080.93226264</v>
      </c>
      <c r="BE53" s="24">
        <f t="shared" si="3"/>
        <v>1309245.6309658599</v>
      </c>
      <c r="BF53" s="24">
        <f t="shared" si="3"/>
        <v>1316125.0389762197</v>
      </c>
      <c r="BH53" s="23"/>
      <c r="BL53" s="9"/>
      <c r="BM53" s="9"/>
    </row>
    <row r="54" spans="1:65" x14ac:dyDescent="0.25"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</row>
    <row r="55" spans="1:65" s="9" customFormat="1" x14ac:dyDescent="0.25">
      <c r="BE55" s="26"/>
      <c r="BF55" s="27"/>
    </row>
  </sheetData>
  <hyperlinks>
    <hyperlink ref="A7" r:id="rId1" xr:uid="{453C64D7-060F-419B-AED0-021BBF984429}"/>
    <hyperlink ref="A6" r:id="rId2" xr:uid="{9DEE58A2-F0D0-417F-BB51-D3D1D55EDEF8}"/>
    <hyperlink ref="A10" r:id="rId3" xr:uid="{3848183A-2A5B-4EBC-92F9-2C1526D00E84}"/>
    <hyperlink ref="A11" r:id="rId4" xr:uid="{05D6534F-91CB-46C7-AEB9-E5E3E591AE6E}"/>
    <hyperlink ref="A12" r:id="rId5" xr:uid="{670A065B-1451-4328-9BF2-ADB5F1B1673A}"/>
    <hyperlink ref="A13" r:id="rId6" xr:uid="{7B82B5E3-B879-42FC-BF46-EAFBA8DC2D39}"/>
    <hyperlink ref="A14" r:id="rId7" xr:uid="{BE84079A-34BF-4FAD-97CC-EDF0F08E2869}"/>
    <hyperlink ref="A15" r:id="rId8" xr:uid="{075285E0-85BA-43E6-85B7-08DCF4CEE876}"/>
    <hyperlink ref="A16" r:id="rId9" xr:uid="{E9AFA123-C029-4DD8-A991-73C5D7953353}"/>
    <hyperlink ref="A17" r:id="rId10" xr:uid="{3733BB19-906E-44B7-B083-6ACC81070CC1}"/>
    <hyperlink ref="A18" r:id="rId11" xr:uid="{4186C76B-2E54-4777-9AE2-31BC38947978}"/>
    <hyperlink ref="A19" r:id="rId12" xr:uid="{19BD3EE8-0C8A-43DA-8614-360733B9447D}"/>
    <hyperlink ref="A20" r:id="rId13" xr:uid="{10726D94-09DC-41B9-ADE1-B90576C3E5BC}"/>
    <hyperlink ref="A21" r:id="rId14" xr:uid="{118D9D3C-5A8B-4109-ADA9-B57554AACE87}"/>
    <hyperlink ref="A22" r:id="rId15" xr:uid="{EBA7196A-23D8-4978-8728-DA6D0438A37F}"/>
    <hyperlink ref="A23" r:id="rId16" location="fy-2019-" xr:uid="{E32A89BE-26D0-451D-B6DD-E113A5C0E7DA}"/>
    <hyperlink ref="A24" r:id="rId17" xr:uid="{16FDC623-D762-49D3-B1BF-ABC8105DA5C1}"/>
    <hyperlink ref="A25" r:id="rId18" xr:uid="{CF2F915F-CE51-4C5A-9202-5DCDE2A2623C}"/>
    <hyperlink ref="A26" r:id="rId19" xr:uid="{A7A4186E-D98B-40F3-AAEF-2E3225097399}"/>
    <hyperlink ref="A27" r:id="rId20" xr:uid="{C9BE2C28-E39C-4697-B865-EBE03E762320}"/>
    <hyperlink ref="A28" r:id="rId21" xr:uid="{030EA724-717C-4C9F-B8E6-62744076DE54}"/>
    <hyperlink ref="A29" r:id="rId22" xr:uid="{923638AA-6204-43ED-9DEF-4CC96DA9D0F5}"/>
    <hyperlink ref="A34" r:id="rId23" xr:uid="{9C113387-1904-4F15-BE56-9299478F62EB}"/>
    <hyperlink ref="A39" r:id="rId24" xr:uid="{BCACE265-04DB-41D1-BCE0-D3090BCACDD0}"/>
    <hyperlink ref="A41" r:id="rId25" xr:uid="{B528710D-DD77-43F9-8793-9098829A6914}"/>
    <hyperlink ref="A40" r:id="rId26" xr:uid="{C3937FA2-6026-4723-AAF4-14458AC780B0}"/>
    <hyperlink ref="A42" r:id="rId27" xr:uid="{05F872E0-DF11-4F77-AC9B-EB3F65FB05DA}"/>
    <hyperlink ref="A43" r:id="rId28" xr:uid="{F14500FA-97A9-430B-A577-009327BE48BE}"/>
    <hyperlink ref="A45" r:id="rId29" xr:uid="{F474B0AD-D968-4D0E-9A1C-81081ABFED36}"/>
    <hyperlink ref="A47" r:id="rId30" xr:uid="{F3B74DA6-E937-4D93-8A6B-921166963F65}"/>
    <hyperlink ref="A48" r:id="rId31" xr:uid="{91A924F0-34C8-4A35-8057-99A14BD3C20F}"/>
    <hyperlink ref="A49" r:id="rId32" xr:uid="{C18DA808-1234-4B06-80F2-55805DA825E9}"/>
    <hyperlink ref="A52" r:id="rId33" xr:uid="{80152EAC-ACC9-47F1-8060-98C1B07976C7}"/>
    <hyperlink ref="A51" r:id="rId34" xr:uid="{300A39F7-85CB-4465-BBCC-6F24226C142C}"/>
    <hyperlink ref="A30" r:id="rId35" xr:uid="{64F536C7-4C41-4C22-B679-C24C649DD0A4}"/>
    <hyperlink ref="A35" r:id="rId36" xr:uid="{D64339BF-9953-43B3-9F9B-3CD03EF18881}"/>
    <hyperlink ref="A44" r:id="rId37" xr:uid="{B2965666-DE4B-4513-866E-7A7CDC6EFB42}"/>
    <hyperlink ref="A50" r:id="rId38" xr:uid="{A9A92175-66A6-4A49-AF17-6EAE2F6AD969}"/>
    <hyperlink ref="A32" r:id="rId39" xr:uid="{20ACE51E-9B80-4F1B-B160-28F0084893C9}"/>
    <hyperlink ref="A33" r:id="rId40" xr:uid="{8CCCC321-9FF6-4E41-B964-D35CAA94A878}"/>
    <hyperlink ref="A4" r:id="rId41" xr:uid="{6356A898-422C-4CF7-AE89-A96B717D3843}"/>
    <hyperlink ref="A9" r:id="rId42" xr:uid="{2238D84E-8CBF-4E42-8576-BA0638925372}"/>
    <hyperlink ref="A31" r:id="rId43" xr:uid="{ACC57063-D512-4F48-9B34-639EB39A23B9}"/>
    <hyperlink ref="A38" r:id="rId44" xr:uid="{F0372FAC-5520-4EFD-A1AB-F786CC6BC58B}"/>
    <hyperlink ref="A37" r:id="rId45" xr:uid="{44AF9FF5-A11B-40FE-886D-5D72B252FF67}"/>
    <hyperlink ref="A3" r:id="rId46" xr:uid="{2FB45B3E-8646-4DFB-859F-6F8958E6FD41}"/>
    <hyperlink ref="A46" r:id="rId47" xr:uid="{90F71D3A-A761-459C-AEB5-268252B13671}"/>
    <hyperlink ref="A36" r:id="rId48" xr:uid="{5D9BE827-9FFD-44A0-A397-5032CC202EE7}"/>
    <hyperlink ref="A5" r:id="rId49" xr:uid="{D9C6E013-19E1-4247-AFF3-1787B68EAF15}"/>
    <hyperlink ref="A8" r:id="rId50" xr:uid="{48900570-B109-4512-8C64-BA73999CDD7F}"/>
  </hyperlinks>
  <pageMargins left="0.7" right="0.7" top="0.75" bottom="0.75" header="0.3" footer="0.3"/>
  <pageSetup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6AAD-18FD-466A-B627-1CC6D9D3888F}">
  <dimension ref="A1:CD61"/>
  <sheetViews>
    <sheetView zoomScaleNormal="100"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9.125" defaultRowHeight="13.6" x14ac:dyDescent="0.25"/>
  <cols>
    <col min="1" max="1" width="13.625" style="2" customWidth="1"/>
    <col min="2" max="2" width="5.625" style="2" customWidth="1"/>
    <col min="3" max="17" width="11.875" style="2" customWidth="1"/>
    <col min="18" max="18" width="11.875" style="39" customWidth="1"/>
    <col min="19" max="20" width="11.875" style="48" customWidth="1"/>
    <col min="21" max="33" width="11.875" style="2" customWidth="1"/>
    <col min="34" max="34" width="11.875" style="39" customWidth="1"/>
    <col min="35" max="36" width="11.875" style="48" customWidth="1"/>
    <col min="37" max="50" width="11.875" style="2" customWidth="1"/>
    <col min="51" max="52" width="11.875" style="48" customWidth="1"/>
    <col min="53" max="65" width="11.875" style="2" customWidth="1"/>
    <col min="66" max="68" width="11.875" style="39" customWidth="1"/>
    <col min="69" max="69" width="11.875" style="28" customWidth="1"/>
    <col min="70" max="81" width="11.875" style="2" customWidth="1"/>
    <col min="82" max="82" width="11.875" style="28" customWidth="1"/>
    <col min="83" max="16384" width="9.125" style="2"/>
  </cols>
  <sheetData>
    <row r="1" spans="1:82" s="28" customFormat="1" x14ac:dyDescent="0.25">
      <c r="A1" s="1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29"/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29"/>
      <c r="AI1" s="3" t="s">
        <v>3</v>
      </c>
      <c r="AJ1" s="3" t="s">
        <v>3</v>
      </c>
      <c r="AK1" s="3" t="s">
        <v>3</v>
      </c>
      <c r="AL1" s="3" t="s">
        <v>3</v>
      </c>
      <c r="AM1" s="3" t="s">
        <v>3</v>
      </c>
      <c r="AN1" s="3" t="s">
        <v>3</v>
      </c>
      <c r="AO1" s="3" t="s">
        <v>3</v>
      </c>
      <c r="AP1" s="3" t="s">
        <v>3</v>
      </c>
      <c r="AQ1" s="3" t="s">
        <v>3</v>
      </c>
      <c r="AR1" s="3" t="s">
        <v>3</v>
      </c>
      <c r="AS1" s="3" t="s">
        <v>3</v>
      </c>
      <c r="AT1" s="3" t="s">
        <v>3</v>
      </c>
      <c r="AU1" s="3" t="s">
        <v>3</v>
      </c>
      <c r="AV1" s="3" t="s">
        <v>3</v>
      </c>
      <c r="AW1" s="3" t="s">
        <v>3</v>
      </c>
      <c r="AX1" s="3"/>
      <c r="AY1" s="3" t="s">
        <v>4</v>
      </c>
      <c r="AZ1" s="3" t="s">
        <v>4</v>
      </c>
      <c r="BA1" s="3" t="s">
        <v>4</v>
      </c>
      <c r="BB1" s="3" t="s">
        <v>4</v>
      </c>
      <c r="BC1" s="3" t="s">
        <v>4</v>
      </c>
      <c r="BD1" s="3" t="s">
        <v>4</v>
      </c>
      <c r="BE1" s="3" t="s">
        <v>4</v>
      </c>
      <c r="BF1" s="3" t="s">
        <v>4</v>
      </c>
      <c r="BG1" s="3" t="s">
        <v>4</v>
      </c>
      <c r="BH1" s="3" t="s">
        <v>4</v>
      </c>
      <c r="BI1" s="3" t="s">
        <v>4</v>
      </c>
      <c r="BJ1" s="3" t="s">
        <v>4</v>
      </c>
      <c r="BK1" s="3" t="s">
        <v>4</v>
      </c>
      <c r="BL1" s="3" t="s">
        <v>4</v>
      </c>
      <c r="BM1" s="3" t="s">
        <v>4</v>
      </c>
      <c r="BN1" s="29"/>
      <c r="BO1" s="3" t="s">
        <v>124</v>
      </c>
      <c r="BP1" s="29"/>
      <c r="BQ1" s="3"/>
    </row>
    <row r="2" spans="1:82" s="30" customFormat="1" x14ac:dyDescent="0.25">
      <c r="A2" s="4" t="s">
        <v>5</v>
      </c>
      <c r="B2" s="5" t="s">
        <v>6</v>
      </c>
      <c r="C2" s="30" t="s">
        <v>7</v>
      </c>
      <c r="D2" s="30" t="s">
        <v>8</v>
      </c>
      <c r="E2" s="30" t="s">
        <v>9</v>
      </c>
      <c r="F2" s="30" t="s">
        <v>10</v>
      </c>
      <c r="G2" s="30" t="s">
        <v>11</v>
      </c>
      <c r="H2" s="30" t="s">
        <v>12</v>
      </c>
      <c r="I2" s="30" t="s">
        <v>13</v>
      </c>
      <c r="J2" s="30" t="s">
        <v>14</v>
      </c>
      <c r="K2" s="30" t="s">
        <v>15</v>
      </c>
      <c r="L2" s="30" t="s">
        <v>16</v>
      </c>
      <c r="M2" s="30" t="s">
        <v>17</v>
      </c>
      <c r="N2" s="30" t="s">
        <v>18</v>
      </c>
      <c r="O2" s="30" t="s">
        <v>19</v>
      </c>
      <c r="P2" s="30" t="s">
        <v>125</v>
      </c>
      <c r="Q2" s="30" t="s">
        <v>126</v>
      </c>
      <c r="R2" s="31"/>
      <c r="S2" s="30" t="s">
        <v>7</v>
      </c>
      <c r="T2" s="30" t="s">
        <v>8</v>
      </c>
      <c r="U2" s="30" t="s">
        <v>9</v>
      </c>
      <c r="V2" s="30" t="s">
        <v>10</v>
      </c>
      <c r="W2" s="30" t="s">
        <v>11</v>
      </c>
      <c r="X2" s="30" t="s">
        <v>12</v>
      </c>
      <c r="Y2" s="30" t="s">
        <v>13</v>
      </c>
      <c r="Z2" s="30" t="s">
        <v>14</v>
      </c>
      <c r="AA2" s="30" t="s">
        <v>15</v>
      </c>
      <c r="AB2" s="30" t="s">
        <v>16</v>
      </c>
      <c r="AC2" s="30" t="s">
        <v>17</v>
      </c>
      <c r="AD2" s="30" t="s">
        <v>18</v>
      </c>
      <c r="AE2" s="30" t="s">
        <v>19</v>
      </c>
      <c r="AF2" s="30" t="s">
        <v>125</v>
      </c>
      <c r="AG2" s="30" t="s">
        <v>126</v>
      </c>
      <c r="AH2" s="31"/>
      <c r="AI2" s="30" t="s">
        <v>7</v>
      </c>
      <c r="AJ2" s="30" t="s">
        <v>8</v>
      </c>
      <c r="AK2" s="30" t="s">
        <v>9</v>
      </c>
      <c r="AL2" s="30" t="s">
        <v>10</v>
      </c>
      <c r="AM2" s="30" t="s">
        <v>11</v>
      </c>
      <c r="AN2" s="30" t="s">
        <v>12</v>
      </c>
      <c r="AO2" s="30" t="s">
        <v>13</v>
      </c>
      <c r="AP2" s="30" t="s">
        <v>14</v>
      </c>
      <c r="AQ2" s="30" t="s">
        <v>15</v>
      </c>
      <c r="AR2" s="30" t="s">
        <v>16</v>
      </c>
      <c r="AS2" s="30" t="s">
        <v>17</v>
      </c>
      <c r="AT2" s="30" t="s">
        <v>18</v>
      </c>
      <c r="AU2" s="30" t="s">
        <v>19</v>
      </c>
      <c r="AV2" s="30" t="s">
        <v>125</v>
      </c>
      <c r="AW2" s="30" t="s">
        <v>126</v>
      </c>
      <c r="AY2" s="30" t="s">
        <v>7</v>
      </c>
      <c r="AZ2" s="30" t="s">
        <v>8</v>
      </c>
      <c r="BA2" s="30" t="s">
        <v>9</v>
      </c>
      <c r="BB2" s="30" t="s">
        <v>10</v>
      </c>
      <c r="BC2" s="30" t="s">
        <v>11</v>
      </c>
      <c r="BD2" s="30" t="s">
        <v>12</v>
      </c>
      <c r="BE2" s="30" t="s">
        <v>13</v>
      </c>
      <c r="BF2" s="30" t="s">
        <v>14</v>
      </c>
      <c r="BG2" s="30" t="s">
        <v>15</v>
      </c>
      <c r="BH2" s="30" t="s">
        <v>16</v>
      </c>
      <c r="BI2" s="30" t="s">
        <v>17</v>
      </c>
      <c r="BJ2" s="30" t="s">
        <v>18</v>
      </c>
      <c r="BK2" s="30" t="s">
        <v>19</v>
      </c>
      <c r="BL2" s="30" t="s">
        <v>125</v>
      </c>
      <c r="BM2" s="30" t="s">
        <v>126</v>
      </c>
      <c r="BN2" s="31"/>
      <c r="BO2" s="30" t="s">
        <v>7</v>
      </c>
      <c r="BP2" s="30" t="s">
        <v>8</v>
      </c>
      <c r="BQ2" s="30" t="s">
        <v>9</v>
      </c>
      <c r="BR2" s="30" t="s">
        <v>10</v>
      </c>
      <c r="BS2" s="30" t="s">
        <v>11</v>
      </c>
      <c r="BT2" s="30" t="s">
        <v>12</v>
      </c>
      <c r="BU2" s="30" t="s">
        <v>13</v>
      </c>
      <c r="BV2" s="30" t="s">
        <v>14</v>
      </c>
      <c r="BW2" s="30" t="s">
        <v>15</v>
      </c>
      <c r="BX2" s="30" t="s">
        <v>16</v>
      </c>
      <c r="BY2" s="30" t="s">
        <v>17</v>
      </c>
      <c r="BZ2" s="30" t="s">
        <v>18</v>
      </c>
      <c r="CA2" s="30" t="s">
        <v>19</v>
      </c>
      <c r="CB2" s="30" t="s">
        <v>125</v>
      </c>
      <c r="CC2" s="30" t="s">
        <v>126</v>
      </c>
      <c r="CD2" s="30" t="s">
        <v>127</v>
      </c>
    </row>
    <row r="3" spans="1:82" x14ac:dyDescent="0.25">
      <c r="A3" s="12" t="s">
        <v>20</v>
      </c>
      <c r="B3" s="8" t="s">
        <v>21</v>
      </c>
      <c r="C3" s="9">
        <v>3281.8100469999999</v>
      </c>
      <c r="D3" s="9">
        <v>3473</v>
      </c>
      <c r="E3" s="9">
        <v>3681</v>
      </c>
      <c r="F3" s="9">
        <v>3746</v>
      </c>
      <c r="G3" s="9">
        <v>3843</v>
      </c>
      <c r="H3" s="9">
        <v>3976</v>
      </c>
      <c r="I3" s="9">
        <v>4158</v>
      </c>
      <c r="J3" s="9">
        <v>4437.1114479999997</v>
      </c>
      <c r="K3" s="9">
        <v>4877.3017060000002</v>
      </c>
      <c r="L3" s="9">
        <v>4777.4045839999999</v>
      </c>
      <c r="M3" s="9">
        <v>5129.8834619999998</v>
      </c>
      <c r="N3" s="9">
        <v>7500</v>
      </c>
      <c r="O3" s="9">
        <v>6750</v>
      </c>
      <c r="P3" s="9">
        <v>7569.7971600000001</v>
      </c>
      <c r="Q3" s="9"/>
      <c r="R3" s="32"/>
      <c r="S3" s="9">
        <v>44.36</v>
      </c>
      <c r="T3" s="9">
        <v>52.5</v>
      </c>
      <c r="U3" s="9">
        <v>115</v>
      </c>
      <c r="V3" s="9">
        <v>58</v>
      </c>
      <c r="W3" s="9">
        <v>75.5</v>
      </c>
      <c r="X3" s="9">
        <v>96.5</v>
      </c>
      <c r="Y3" s="9">
        <v>96</v>
      </c>
      <c r="Z3" s="9">
        <v>96</v>
      </c>
      <c r="AA3" s="9">
        <v>96</v>
      </c>
      <c r="AB3" s="9">
        <v>96</v>
      </c>
      <c r="AC3" s="9">
        <v>103</v>
      </c>
      <c r="AD3" s="9">
        <v>104.8</v>
      </c>
      <c r="AE3" s="9">
        <v>103.964879</v>
      </c>
      <c r="AF3" s="9">
        <v>108.90459799999999</v>
      </c>
      <c r="AG3" s="9"/>
      <c r="AH3" s="32"/>
      <c r="AI3" s="9">
        <v>2089.4493789999997</v>
      </c>
      <c r="AJ3" s="9">
        <v>2066.3000000000002</v>
      </c>
      <c r="AK3" s="9">
        <v>2094.4</v>
      </c>
      <c r="AL3" s="9">
        <v>2378.8000000000002</v>
      </c>
      <c r="AM3" s="9">
        <v>2271.6</v>
      </c>
      <c r="AN3" s="9">
        <v>2392</v>
      </c>
      <c r="AO3" s="9">
        <v>2407</v>
      </c>
      <c r="AP3" s="9">
        <v>2610.4492260000002</v>
      </c>
      <c r="AQ3" s="9">
        <v>2749.744177</v>
      </c>
      <c r="AR3" s="9">
        <v>2839.1024320000001</v>
      </c>
      <c r="AS3" s="9">
        <v>3182.936854</v>
      </c>
      <c r="AT3" s="9">
        <v>3474.2660550000001</v>
      </c>
      <c r="AU3" s="9">
        <v>3465.0258600000002</v>
      </c>
      <c r="AV3" s="9">
        <v>3585.7088370000001</v>
      </c>
      <c r="AW3" s="9"/>
      <c r="AX3" s="9"/>
      <c r="AY3" s="9">
        <f>5719.45+1371.744</f>
        <v>7091.1939999999995</v>
      </c>
      <c r="AZ3" s="9">
        <f>(1663043840+5824593296)/1000000</f>
        <v>7487.6371360000003</v>
      </c>
      <c r="BA3" s="9">
        <v>7841.7173739999998</v>
      </c>
      <c r="BB3" s="9">
        <v>8298.4462889999995</v>
      </c>
      <c r="BC3" s="9">
        <v>8041.58338</v>
      </c>
      <c r="BD3" s="9">
        <v>8364.6493719999999</v>
      </c>
      <c r="BE3" s="9">
        <v>8599.0708940000004</v>
      </c>
      <c r="BF3" s="9">
        <v>9215.8394399999997</v>
      </c>
      <c r="BG3" s="9">
        <v>9927.2649870000005</v>
      </c>
      <c r="BH3" s="9">
        <v>9980.8063509999993</v>
      </c>
      <c r="BI3" s="9">
        <v>10859.204872</v>
      </c>
      <c r="BJ3" s="9">
        <f>(2823184399+10904087198)/1000000</f>
        <v>13727.271597000001</v>
      </c>
      <c r="BK3" s="9">
        <v>13182.236677999999</v>
      </c>
      <c r="BL3" s="9">
        <v>14404.785328</v>
      </c>
      <c r="BM3" s="9"/>
      <c r="BN3" s="32"/>
      <c r="BO3" s="33">
        <v>40909</v>
      </c>
      <c r="BP3" s="33">
        <v>41275</v>
      </c>
      <c r="BQ3" s="33">
        <v>41640</v>
      </c>
      <c r="BR3" s="33">
        <v>42005</v>
      </c>
      <c r="BS3" s="33">
        <v>42370</v>
      </c>
      <c r="BT3" s="33">
        <v>42736</v>
      </c>
      <c r="BU3" s="33">
        <v>43101</v>
      </c>
      <c r="BV3" s="33">
        <v>43466</v>
      </c>
      <c r="BW3" s="33">
        <v>43831</v>
      </c>
      <c r="BX3" s="33">
        <v>44197</v>
      </c>
      <c r="BY3" s="33">
        <v>44562</v>
      </c>
      <c r="BZ3" s="33">
        <v>44927</v>
      </c>
      <c r="CA3" s="33">
        <v>45292</v>
      </c>
      <c r="CB3" s="33">
        <v>45658</v>
      </c>
      <c r="CC3" s="33"/>
      <c r="CD3" s="28" t="s">
        <v>128</v>
      </c>
    </row>
    <row r="4" spans="1:82" x14ac:dyDescent="0.25">
      <c r="A4" s="34" t="s">
        <v>22</v>
      </c>
      <c r="B4" s="8" t="s">
        <v>23</v>
      </c>
      <c r="C4" s="9" t="s">
        <v>24</v>
      </c>
      <c r="D4" s="9" t="s">
        <v>24</v>
      </c>
      <c r="E4" s="9" t="s">
        <v>24</v>
      </c>
      <c r="F4" s="9" t="s">
        <v>24</v>
      </c>
      <c r="G4" s="9" t="s">
        <v>24</v>
      </c>
      <c r="H4" s="9" t="s">
        <v>24</v>
      </c>
      <c r="I4" s="9" t="s">
        <v>24</v>
      </c>
      <c r="J4" s="9" t="s">
        <v>24</v>
      </c>
      <c r="K4" s="9" t="s">
        <v>24</v>
      </c>
      <c r="L4" s="9" t="s">
        <v>24</v>
      </c>
      <c r="M4" s="9" t="s">
        <v>24</v>
      </c>
      <c r="N4" s="9" t="s">
        <v>24</v>
      </c>
      <c r="O4" s="9" t="s">
        <v>24</v>
      </c>
      <c r="P4" s="9" t="s">
        <v>24</v>
      </c>
      <c r="Q4" s="9"/>
      <c r="R4" s="32"/>
      <c r="S4" s="9">
        <v>167.6</v>
      </c>
      <c r="T4" s="9">
        <v>100.5</v>
      </c>
      <c r="U4" s="9">
        <v>127.1</v>
      </c>
      <c r="V4" s="9">
        <v>125.9</v>
      </c>
      <c r="W4" s="9">
        <v>99.3</v>
      </c>
      <c r="X4" s="9">
        <v>154.9</v>
      </c>
      <c r="Y4" s="9">
        <v>145</v>
      </c>
      <c r="Z4" s="9">
        <v>135</v>
      </c>
      <c r="AA4" s="9">
        <v>75</v>
      </c>
      <c r="AB4" s="9">
        <v>10</v>
      </c>
      <c r="AC4" s="9">
        <v>125</v>
      </c>
      <c r="AD4" s="9">
        <v>125</v>
      </c>
      <c r="AE4" s="9">
        <v>160</v>
      </c>
      <c r="AF4" s="9">
        <v>235</v>
      </c>
      <c r="AG4" s="9"/>
      <c r="AH4" s="32"/>
      <c r="AI4" s="9" t="s">
        <v>24</v>
      </c>
      <c r="AJ4" s="9" t="s">
        <v>24</v>
      </c>
      <c r="AK4" s="9" t="s">
        <v>24</v>
      </c>
      <c r="AL4" s="9" t="s">
        <v>24</v>
      </c>
      <c r="AM4" s="9" t="s">
        <v>24</v>
      </c>
      <c r="AN4" s="9" t="s">
        <v>24</v>
      </c>
      <c r="AO4" s="9" t="s">
        <v>24</v>
      </c>
      <c r="AP4" s="9" t="s">
        <v>24</v>
      </c>
      <c r="AQ4" s="9" t="s">
        <v>24</v>
      </c>
      <c r="AR4" s="9" t="s">
        <v>24</v>
      </c>
      <c r="AS4" s="9" t="s">
        <v>24</v>
      </c>
      <c r="AT4" s="9" t="s">
        <v>24</v>
      </c>
      <c r="AU4" s="9" t="s">
        <v>24</v>
      </c>
      <c r="AV4" s="9" t="s">
        <v>24</v>
      </c>
      <c r="AW4" s="9"/>
      <c r="AX4" s="9"/>
      <c r="AY4" s="9">
        <f>16492.4-2862.2</f>
        <v>13630.2</v>
      </c>
      <c r="AZ4" s="9">
        <f>14622.9-2965</f>
        <v>11657.9</v>
      </c>
      <c r="BA4" s="9">
        <f>12567.5-3116.4</f>
        <v>9451.1</v>
      </c>
      <c r="BB4" s="9">
        <f>9957.6-3401.8</f>
        <v>6555.8</v>
      </c>
      <c r="BC4" s="9">
        <f>8219-3401.8</f>
        <v>4817.2</v>
      </c>
      <c r="BD4" s="9">
        <f>10188.7-3466.7</f>
        <v>6722.0000000000009</v>
      </c>
      <c r="BE4" s="9">
        <f>11172.3-3678.4</f>
        <v>7493.9</v>
      </c>
      <c r="BF4" s="9">
        <f>10970.6-3257.9</f>
        <v>7712.7000000000007</v>
      </c>
      <c r="BG4" s="9">
        <f>10569.9-4314</f>
        <v>6255.9</v>
      </c>
      <c r="BH4" s="9">
        <f>11040.8-4070.3</f>
        <v>6970.4999999999991</v>
      </c>
      <c r="BI4" s="9">
        <f>16435.4-5183.8</f>
        <v>11251.600000000002</v>
      </c>
      <c r="BJ4" s="9">
        <f>14904-5433.7</f>
        <v>9470.2999999999993</v>
      </c>
      <c r="BK4" s="9">
        <f>16515.8-6472.5</f>
        <v>10043.299999999999</v>
      </c>
      <c r="BL4" s="9">
        <f>15900.8-6080.7</f>
        <v>9820.0999999999985</v>
      </c>
      <c r="BM4" s="9"/>
      <c r="BN4" s="32"/>
      <c r="BO4" s="33">
        <v>40969</v>
      </c>
      <c r="BP4" s="33">
        <v>41334</v>
      </c>
      <c r="BQ4" s="33">
        <v>41699</v>
      </c>
      <c r="BR4" s="33">
        <v>42064</v>
      </c>
      <c r="BS4" s="33">
        <v>42430</v>
      </c>
      <c r="BT4" s="33">
        <v>42795</v>
      </c>
      <c r="BU4" s="33">
        <v>43160</v>
      </c>
      <c r="BV4" s="33">
        <v>43525</v>
      </c>
      <c r="BW4" s="33">
        <v>43891</v>
      </c>
      <c r="BX4" s="33">
        <v>44270</v>
      </c>
      <c r="BY4" s="33">
        <v>44621</v>
      </c>
      <c r="BZ4" s="33">
        <v>45006</v>
      </c>
      <c r="CA4" s="33">
        <v>45352</v>
      </c>
      <c r="CB4" s="33">
        <v>45717</v>
      </c>
      <c r="CC4" s="33"/>
      <c r="CD4" s="28" t="s">
        <v>128</v>
      </c>
    </row>
    <row r="5" spans="1:82" ht="12.75" customHeight="1" x14ac:dyDescent="0.25">
      <c r="A5" s="34" t="s">
        <v>26</v>
      </c>
      <c r="B5" s="8" t="s">
        <v>27</v>
      </c>
      <c r="C5" s="9">
        <v>3280</v>
      </c>
      <c r="D5" s="9">
        <v>3531.2579000000001</v>
      </c>
      <c r="E5" s="9">
        <v>3868.06</v>
      </c>
      <c r="F5" s="9">
        <v>3741.4672</v>
      </c>
      <c r="G5" s="9">
        <v>4147.1400000000003</v>
      </c>
      <c r="H5" s="9">
        <v>4282.79</v>
      </c>
      <c r="I5" s="9">
        <v>4507.8999999999996</v>
      </c>
      <c r="J5" s="9">
        <v>5008.63</v>
      </c>
      <c r="K5" s="9">
        <v>5311.7650000000003</v>
      </c>
      <c r="L5" s="9">
        <v>5555.8199000000004</v>
      </c>
      <c r="M5" s="9">
        <v>5590</v>
      </c>
      <c r="N5" s="9">
        <v>5662.2761</v>
      </c>
      <c r="O5" s="9">
        <v>5185.6390000000001</v>
      </c>
      <c r="P5" s="9">
        <v>5481.7876999999999</v>
      </c>
      <c r="Q5" s="9"/>
      <c r="R5" s="32"/>
      <c r="S5" s="9">
        <v>630</v>
      </c>
      <c r="T5" s="9">
        <v>714.91</v>
      </c>
      <c r="U5" s="9">
        <v>573.86800000000005</v>
      </c>
      <c r="V5" s="9">
        <v>465.06209999999999</v>
      </c>
      <c r="W5" s="9">
        <v>563.32500000000005</v>
      </c>
      <c r="X5" s="9">
        <v>389.39009999999996</v>
      </c>
      <c r="Y5" s="9">
        <v>299.06</v>
      </c>
      <c r="Z5" s="9">
        <v>427</v>
      </c>
      <c r="AA5" s="9">
        <v>533.98</v>
      </c>
      <c r="AB5" s="9">
        <v>533.51819999999998</v>
      </c>
      <c r="AC5" s="9">
        <v>815.56949999999995</v>
      </c>
      <c r="AD5" s="9">
        <v>1305.7</v>
      </c>
      <c r="AE5" s="9">
        <v>1795.146</v>
      </c>
      <c r="AF5" s="9">
        <v>1933.857</v>
      </c>
      <c r="AG5" s="9"/>
      <c r="AH5" s="32"/>
      <c r="AI5" s="9">
        <v>3900</v>
      </c>
      <c r="AJ5" s="9">
        <v>4029.02</v>
      </c>
      <c r="AK5" s="9">
        <v>4290.6000000000004</v>
      </c>
      <c r="AL5" s="9">
        <v>4343.8892999999998</v>
      </c>
      <c r="AM5" s="9">
        <v>4502.5447999999997</v>
      </c>
      <c r="AN5" s="9">
        <v>4676.87</v>
      </c>
      <c r="AO5" s="9">
        <v>4838.3999999999996</v>
      </c>
      <c r="AP5" s="9">
        <v>5289.43</v>
      </c>
      <c r="AQ5" s="9">
        <v>5669.9034000000001</v>
      </c>
      <c r="AR5" s="9">
        <v>6091.9180999999999</v>
      </c>
      <c r="AS5" s="9">
        <v>6918.59</v>
      </c>
      <c r="AT5" s="9">
        <v>7943.3567999999996</v>
      </c>
      <c r="AU5" s="9">
        <v>8280.3114999999998</v>
      </c>
      <c r="AV5" s="9">
        <v>8484.4251000000004</v>
      </c>
      <c r="AW5" s="9"/>
      <c r="AX5" s="9"/>
      <c r="AY5" s="9">
        <v>8262.7999999999993</v>
      </c>
      <c r="AZ5" s="9">
        <v>8742.6404999999995</v>
      </c>
      <c r="BA5" s="9">
        <v>9246.5751999999993</v>
      </c>
      <c r="BB5" s="9">
        <v>9116.9485999999997</v>
      </c>
      <c r="BC5" s="9">
        <v>9763.3108000000011</v>
      </c>
      <c r="BD5" s="9">
        <v>9945.7320999999993</v>
      </c>
      <c r="BE5" s="9">
        <v>10261.598</v>
      </c>
      <c r="BF5" s="9">
        <v>11330.919</v>
      </c>
      <c r="BG5" s="9">
        <v>12178.3019</v>
      </c>
      <c r="BH5" s="9">
        <v>12829.7641</v>
      </c>
      <c r="BI5" s="9">
        <v>14054.549499999999</v>
      </c>
      <c r="BJ5" s="9">
        <v>15805.053900000001</v>
      </c>
      <c r="BK5" s="9">
        <v>16126.318499999999</v>
      </c>
      <c r="BL5" s="9">
        <v>16948.879000000001</v>
      </c>
      <c r="BM5" s="9"/>
      <c r="BN5" s="32"/>
      <c r="BO5" s="33">
        <v>40909</v>
      </c>
      <c r="BP5" s="33">
        <v>41275</v>
      </c>
      <c r="BQ5" s="35">
        <v>41640</v>
      </c>
      <c r="BR5" s="35">
        <v>42005</v>
      </c>
      <c r="BS5" s="35">
        <v>42370</v>
      </c>
      <c r="BT5" s="35">
        <v>42736</v>
      </c>
      <c r="BU5" s="35">
        <v>43101</v>
      </c>
      <c r="BV5" s="35">
        <v>43466</v>
      </c>
      <c r="BW5" s="35">
        <v>43831</v>
      </c>
      <c r="BX5" s="35">
        <v>44197</v>
      </c>
      <c r="BY5" s="35">
        <v>44562</v>
      </c>
      <c r="BZ5" s="35">
        <v>44927</v>
      </c>
      <c r="CA5" s="35">
        <v>45292</v>
      </c>
      <c r="CB5" s="35">
        <v>45658</v>
      </c>
      <c r="CC5" s="35"/>
      <c r="CD5" s="28" t="s">
        <v>128</v>
      </c>
    </row>
    <row r="6" spans="1:82" x14ac:dyDescent="0.25">
      <c r="A6" s="16" t="s">
        <v>28</v>
      </c>
      <c r="B6" s="8" t="s">
        <v>29</v>
      </c>
      <c r="C6" s="9">
        <f>2888.2-507.2</f>
        <v>2381</v>
      </c>
      <c r="D6" s="9">
        <f>3101.2-541.4</f>
        <v>2559.7999999999997</v>
      </c>
      <c r="E6" s="9">
        <f>3173.4-553.5</f>
        <v>2619.9</v>
      </c>
      <c r="F6" s="9">
        <f>3092-431.3</f>
        <v>2660.7</v>
      </c>
      <c r="G6" s="9">
        <f>3220.5-479.4</f>
        <v>2741.1</v>
      </c>
      <c r="H6" s="9">
        <f>3319-522.1</f>
        <v>2796.9</v>
      </c>
      <c r="I6" s="9">
        <f>3428.8-504.6</f>
        <v>2924.2000000000003</v>
      </c>
      <c r="J6" s="9">
        <f>3578.8-581.1</f>
        <v>2997.7000000000003</v>
      </c>
      <c r="K6" s="9">
        <f>3359.1-455</f>
        <v>2904.1</v>
      </c>
      <c r="L6" s="9">
        <f>3189.7-370</f>
        <v>2819.7</v>
      </c>
      <c r="M6" s="9">
        <f>3907.1-486.4</f>
        <v>3420.7</v>
      </c>
      <c r="N6" s="9">
        <f>3586.8-558.5</f>
        <v>3028.3</v>
      </c>
      <c r="O6" s="9">
        <f>3753.6-629.1</f>
        <v>3124.5</v>
      </c>
      <c r="P6" s="9">
        <v>2947.4</v>
      </c>
      <c r="Q6" s="9"/>
      <c r="R6" s="32"/>
      <c r="S6" s="9">
        <f>406.9-45.4</f>
        <v>361.5</v>
      </c>
      <c r="T6" s="9">
        <f>429-61.6</f>
        <v>367.4</v>
      </c>
      <c r="U6" s="9">
        <f>450.2-60.5</f>
        <v>389.7</v>
      </c>
      <c r="V6" s="9">
        <f>476.2-48</f>
        <v>428.2</v>
      </c>
      <c r="W6" s="9">
        <f>462.3-54</f>
        <v>408.3</v>
      </c>
      <c r="X6" s="9">
        <f>474.9-64.8</f>
        <v>410.09999999999997</v>
      </c>
      <c r="Y6" s="9">
        <f>482.3-70.4</f>
        <v>411.9</v>
      </c>
      <c r="Z6" s="9">
        <f>404.6-52.4</f>
        <v>352.20000000000005</v>
      </c>
      <c r="AA6" s="9">
        <f>449.4-63.1</f>
        <v>386.29999999999995</v>
      </c>
      <c r="AB6" s="9">
        <f>478.7-68.8</f>
        <v>409.9</v>
      </c>
      <c r="AC6" s="9">
        <f>642.2-71.9</f>
        <v>570.30000000000007</v>
      </c>
      <c r="AD6" s="9">
        <f>519.2-72.7</f>
        <v>446.50000000000006</v>
      </c>
      <c r="AE6" s="9">
        <f>718.3-74.3</f>
        <v>644</v>
      </c>
      <c r="AF6" s="9">
        <v>434.8</v>
      </c>
      <c r="AG6" s="9"/>
      <c r="AH6" s="32"/>
      <c r="AI6" s="9">
        <v>2174.1</v>
      </c>
      <c r="AJ6" s="9">
        <v>2207.6999999999998</v>
      </c>
      <c r="AK6" s="9">
        <v>2208</v>
      </c>
      <c r="AL6" s="9">
        <v>2273</v>
      </c>
      <c r="AM6" s="9">
        <v>2396</v>
      </c>
      <c r="AN6" s="9">
        <v>2444.9</v>
      </c>
      <c r="AO6" s="9">
        <v>2487.6999999999998</v>
      </c>
      <c r="AP6" s="9">
        <v>2572.4</v>
      </c>
      <c r="AQ6" s="9">
        <v>2569.4</v>
      </c>
      <c r="AR6" s="9">
        <v>2815.3</v>
      </c>
      <c r="AS6" s="9">
        <v>3166.8</v>
      </c>
      <c r="AT6" s="9">
        <v>3405.1</v>
      </c>
      <c r="AU6" s="9">
        <v>3547.9</v>
      </c>
      <c r="AV6" s="9">
        <v>3575.6</v>
      </c>
      <c r="AW6" s="9"/>
      <c r="AX6" s="9"/>
      <c r="AY6" s="9">
        <v>4727.5</v>
      </c>
      <c r="AZ6" s="9">
        <v>4957.6000000000004</v>
      </c>
      <c r="BA6" s="9">
        <v>5040.7</v>
      </c>
      <c r="BB6" s="9">
        <v>5186.2</v>
      </c>
      <c r="BC6" s="9">
        <v>5333.1</v>
      </c>
      <c r="BD6" s="9">
        <v>5453.2</v>
      </c>
      <c r="BE6" s="9">
        <v>5690.2</v>
      </c>
      <c r="BF6" s="9">
        <v>5737.1</v>
      </c>
      <c r="BG6" s="9">
        <v>5687.3</v>
      </c>
      <c r="BH6" s="9">
        <v>5866.2</v>
      </c>
      <c r="BI6" s="9">
        <v>6938.3</v>
      </c>
      <c r="BJ6" s="9">
        <v>6625.4</v>
      </c>
      <c r="BK6" s="9">
        <v>7075.2</v>
      </c>
      <c r="BL6" s="9">
        <v>6679.1</v>
      </c>
      <c r="BM6" s="9"/>
      <c r="BN6" s="32"/>
      <c r="BO6" s="33">
        <v>41030</v>
      </c>
      <c r="BP6" s="33">
        <v>41395</v>
      </c>
      <c r="BQ6" s="36">
        <v>41760</v>
      </c>
      <c r="BR6" s="36">
        <v>42125</v>
      </c>
      <c r="BS6" s="36">
        <v>42491</v>
      </c>
      <c r="BT6" s="36">
        <v>42856</v>
      </c>
      <c r="BU6" s="36">
        <v>43221</v>
      </c>
      <c r="BV6" s="36">
        <v>43586</v>
      </c>
      <c r="BW6" s="36">
        <v>43923</v>
      </c>
      <c r="BX6" s="36">
        <v>44335</v>
      </c>
      <c r="BY6" s="36">
        <v>44682</v>
      </c>
      <c r="BZ6" s="36">
        <v>45047</v>
      </c>
      <c r="CA6" s="36">
        <v>45413</v>
      </c>
      <c r="CB6" s="36">
        <v>45778</v>
      </c>
      <c r="CC6" s="36"/>
      <c r="CD6" s="37" t="s">
        <v>129</v>
      </c>
    </row>
    <row r="7" spans="1:82" x14ac:dyDescent="0.25">
      <c r="A7" s="12" t="s">
        <v>30</v>
      </c>
      <c r="B7" s="8" t="s">
        <v>31</v>
      </c>
      <c r="C7" s="9">
        <v>60268</v>
      </c>
      <c r="D7" s="9">
        <v>60827</v>
      </c>
      <c r="E7" s="9">
        <v>70238</v>
      </c>
      <c r="F7" s="9">
        <v>77700</v>
      </c>
      <c r="G7" s="9">
        <v>83393</v>
      </c>
      <c r="H7" s="9">
        <v>88961</v>
      </c>
      <c r="I7" s="9">
        <v>95009</v>
      </c>
      <c r="J7" s="9">
        <v>102333</v>
      </c>
      <c r="K7" s="9">
        <v>76619.63</v>
      </c>
      <c r="L7" s="9">
        <v>123298</v>
      </c>
      <c r="M7" s="9">
        <v>137454</v>
      </c>
      <c r="N7" s="9">
        <v>118136</v>
      </c>
      <c r="O7" s="9">
        <v>116176</v>
      </c>
      <c r="P7" s="9">
        <v>126107</v>
      </c>
      <c r="Q7" s="9"/>
      <c r="R7" s="32"/>
      <c r="S7" s="9">
        <v>8488</v>
      </c>
      <c r="T7" s="9">
        <v>8508</v>
      </c>
      <c r="U7" s="9">
        <v>8910</v>
      </c>
      <c r="V7" s="9">
        <v>10342</v>
      </c>
      <c r="W7" s="9">
        <v>10993</v>
      </c>
      <c r="X7" s="9">
        <v>10894</v>
      </c>
      <c r="Y7" s="9">
        <v>12248</v>
      </c>
      <c r="Z7" s="9">
        <v>13233</v>
      </c>
      <c r="AA7" s="9">
        <v>12367.49</v>
      </c>
      <c r="AB7" s="9">
        <v>18106</v>
      </c>
      <c r="AC7" s="9">
        <v>38464</v>
      </c>
      <c r="AD7" s="9">
        <v>42081</v>
      </c>
      <c r="AE7" s="9">
        <v>36778</v>
      </c>
      <c r="AF7" s="9">
        <v>35293</v>
      </c>
      <c r="AG7" s="9"/>
      <c r="AH7" s="32"/>
      <c r="AI7" s="9">
        <v>20605</v>
      </c>
      <c r="AJ7" s="9">
        <v>22983</v>
      </c>
      <c r="AK7" s="9">
        <v>23823</v>
      </c>
      <c r="AL7" s="9">
        <v>25240</v>
      </c>
      <c r="AM7" s="9">
        <v>25727</v>
      </c>
      <c r="AN7" s="9">
        <v>24470</v>
      </c>
      <c r="AO7" s="9">
        <v>26674</v>
      </c>
      <c r="AP7" s="9">
        <v>27241</v>
      </c>
      <c r="AQ7" s="9">
        <v>20570.8</v>
      </c>
      <c r="AR7" s="9">
        <v>28986</v>
      </c>
      <c r="AS7" s="9">
        <v>33991</v>
      </c>
      <c r="AT7" s="9">
        <v>33366</v>
      </c>
      <c r="AU7" s="9">
        <v>34043</v>
      </c>
      <c r="AV7" s="9">
        <v>34866</v>
      </c>
      <c r="AW7" s="9"/>
      <c r="AX7" s="9"/>
      <c r="AY7" s="9">
        <v>95689</v>
      </c>
      <c r="AZ7" s="9">
        <v>97235</v>
      </c>
      <c r="BA7" s="9">
        <v>106951</v>
      </c>
      <c r="BB7" s="9">
        <v>118031</v>
      </c>
      <c r="BC7" s="9">
        <v>124160</v>
      </c>
      <c r="BD7" s="9">
        <v>128316</v>
      </c>
      <c r="BE7" s="9">
        <v>138317</v>
      </c>
      <c r="BF7" s="9">
        <v>147833</v>
      </c>
      <c r="BG7" s="9">
        <v>119244</v>
      </c>
      <c r="BH7" s="9">
        <v>181745</v>
      </c>
      <c r="BI7" s="9">
        <v>222966</v>
      </c>
      <c r="BJ7" s="9">
        <v>206640</v>
      </c>
      <c r="BK7" s="9">
        <v>199128</v>
      </c>
      <c r="BL7" s="9">
        <v>206736</v>
      </c>
      <c r="BM7" s="9"/>
      <c r="BN7" s="32"/>
      <c r="BO7" s="33">
        <v>41030</v>
      </c>
      <c r="BP7" s="33">
        <v>41395</v>
      </c>
      <c r="BQ7" s="33">
        <v>41760</v>
      </c>
      <c r="BR7" s="33">
        <v>42125</v>
      </c>
      <c r="BS7" s="33">
        <v>42491</v>
      </c>
      <c r="BT7" s="33">
        <v>42856</v>
      </c>
      <c r="BU7" s="33">
        <v>43221</v>
      </c>
      <c r="BV7" s="33">
        <v>43586</v>
      </c>
      <c r="BW7" s="33">
        <v>43952</v>
      </c>
      <c r="BX7" s="33">
        <v>44317</v>
      </c>
      <c r="BY7" s="36">
        <v>44682</v>
      </c>
      <c r="BZ7" s="36">
        <v>45047</v>
      </c>
      <c r="CA7" s="36">
        <v>45413</v>
      </c>
      <c r="CB7" s="36">
        <v>45778</v>
      </c>
      <c r="CC7" s="36"/>
      <c r="CD7" s="28" t="s">
        <v>128</v>
      </c>
    </row>
    <row r="8" spans="1:82" x14ac:dyDescent="0.25">
      <c r="A8" s="16" t="s">
        <v>32</v>
      </c>
      <c r="B8" s="8" t="s">
        <v>33</v>
      </c>
      <c r="C8" s="9">
        <v>5131.1000000000004</v>
      </c>
      <c r="D8" s="9">
        <v>5687.3</v>
      </c>
      <c r="E8" s="9">
        <v>6002.5</v>
      </c>
      <c r="F8" s="9">
        <v>6493.3</v>
      </c>
      <c r="G8" s="9">
        <v>6803.3</v>
      </c>
      <c r="H8" s="9">
        <v>7275.7</v>
      </c>
      <c r="I8" s="9">
        <v>7978.4</v>
      </c>
      <c r="J8" s="9">
        <v>8617.1</v>
      </c>
      <c r="K8" s="9">
        <v>6957.8</v>
      </c>
      <c r="L8" s="9">
        <v>9877.5</v>
      </c>
      <c r="M8" s="9">
        <v>11620.5</v>
      </c>
      <c r="N8" s="9">
        <v>11139</v>
      </c>
      <c r="O8" s="9">
        <v>10138.9</v>
      </c>
      <c r="P8" s="9">
        <v>10744.8</v>
      </c>
      <c r="Q8" s="9"/>
      <c r="R8" s="32"/>
      <c r="S8" s="9">
        <v>448.5</v>
      </c>
      <c r="T8" s="9">
        <v>760.9</v>
      </c>
      <c r="U8" s="9">
        <v>804.2</v>
      </c>
      <c r="V8" s="9">
        <v>656.8</v>
      </c>
      <c r="W8" s="9">
        <v>606.79999999999995</v>
      </c>
      <c r="X8" s="9">
        <v>632.79999999999995</v>
      </c>
      <c r="Y8" s="9">
        <v>778.8</v>
      </c>
      <c r="Z8" s="9">
        <v>857.1</v>
      </c>
      <c r="AA8" s="9">
        <v>443.6</v>
      </c>
      <c r="AB8" s="9">
        <v>982.6</v>
      </c>
      <c r="AC8" s="9">
        <v>1192.5</v>
      </c>
      <c r="AD8" s="9">
        <v>1930.8</v>
      </c>
      <c r="AE8" s="9">
        <v>2226.1</v>
      </c>
      <c r="AF8" s="9">
        <v>2124.8000000000002</v>
      </c>
      <c r="AG8" s="9"/>
      <c r="AH8" s="32"/>
      <c r="AI8" s="9">
        <f>2083.2+208.8</f>
        <v>2292</v>
      </c>
      <c r="AJ8" s="9">
        <f>2320.6+244.1</f>
        <v>2564.6999999999998</v>
      </c>
      <c r="AK8" s="9">
        <f>2497+263.5</f>
        <v>2760.5</v>
      </c>
      <c r="AL8" s="9">
        <f>2807.8+288.6</f>
        <v>3096.4</v>
      </c>
      <c r="AM8" s="9">
        <f>2792.7+270.7</f>
        <v>3063.3999999999996</v>
      </c>
      <c r="AN8" s="9">
        <f>3022.3+277.5</f>
        <v>3299.8</v>
      </c>
      <c r="AO8" s="9">
        <f>3084.7+338.5</f>
        <v>3423.2</v>
      </c>
      <c r="AP8" s="9">
        <f>3223.8+314.9</f>
        <v>3538.7000000000003</v>
      </c>
      <c r="AQ8" s="9">
        <f>3089.6+202</f>
        <v>3291.6</v>
      </c>
      <c r="AR8" s="9">
        <f>3492.8+216.1</f>
        <v>3708.9</v>
      </c>
      <c r="AS8" s="9">
        <f>4221+258.3</f>
        <v>4479.3</v>
      </c>
      <c r="AT8" s="9">
        <f>4487.6+263.7</f>
        <v>4751.3</v>
      </c>
      <c r="AU8" s="9">
        <f>4508.1+240.7</f>
        <v>4748.8</v>
      </c>
      <c r="AV8" s="9">
        <f>4585.3+232.9</f>
        <v>4818.2</v>
      </c>
      <c r="AW8" s="9"/>
      <c r="AX8" s="9"/>
      <c r="AY8" s="9">
        <v>7847.3</v>
      </c>
      <c r="AZ8" s="9">
        <v>8897.6</v>
      </c>
      <c r="BA8" s="9">
        <v>9448.2000000000007</v>
      </c>
      <c r="BB8" s="9">
        <v>10089.6</v>
      </c>
      <c r="BC8" s="9">
        <v>10360.200000000001</v>
      </c>
      <c r="BD8" s="9">
        <v>11087.5</v>
      </c>
      <c r="BE8" s="9">
        <v>12192.5</v>
      </c>
      <c r="BF8" s="9">
        <v>13029.9</v>
      </c>
      <c r="BG8" s="9">
        <v>10832.8</v>
      </c>
      <c r="BH8" s="9">
        <v>14868.4</v>
      </c>
      <c r="BI8" s="9">
        <v>17427.099999999999</v>
      </c>
      <c r="BJ8" s="9">
        <v>17763.7</v>
      </c>
      <c r="BK8" s="9">
        <v>17010</v>
      </c>
      <c r="BL8" s="9">
        <v>17573.099999999999</v>
      </c>
      <c r="BM8" s="9"/>
      <c r="BN8" s="32"/>
      <c r="BO8" s="33">
        <v>41061</v>
      </c>
      <c r="BP8" s="33">
        <v>41426</v>
      </c>
      <c r="BQ8" s="33">
        <v>41791</v>
      </c>
      <c r="BR8" s="33">
        <v>42156</v>
      </c>
      <c r="BS8" s="33">
        <v>42522</v>
      </c>
      <c r="BT8" s="33">
        <v>42887</v>
      </c>
      <c r="BU8" s="33">
        <v>43252</v>
      </c>
      <c r="BV8" s="33">
        <v>43617</v>
      </c>
      <c r="BW8" s="33">
        <v>43983</v>
      </c>
      <c r="BX8" s="33">
        <v>44365</v>
      </c>
      <c r="BY8" s="33">
        <v>44713</v>
      </c>
      <c r="BZ8" s="33">
        <v>45078</v>
      </c>
      <c r="CA8" s="33">
        <v>45444</v>
      </c>
      <c r="CB8" s="33">
        <v>45809</v>
      </c>
      <c r="CC8" s="33"/>
      <c r="CD8" s="28" t="s">
        <v>128</v>
      </c>
    </row>
    <row r="9" spans="1:82" x14ac:dyDescent="0.25">
      <c r="A9" s="38" t="s">
        <v>34</v>
      </c>
      <c r="B9" s="8" t="s">
        <v>35</v>
      </c>
      <c r="C9" s="9">
        <v>8551.2999999999993</v>
      </c>
      <c r="D9" s="9">
        <v>8796.9</v>
      </c>
      <c r="E9" s="9">
        <v>9267.5</v>
      </c>
      <c r="F9" s="9">
        <v>9665.1</v>
      </c>
      <c r="G9" s="9">
        <v>9522</v>
      </c>
      <c r="H9" s="9">
        <v>9096.7000000000007</v>
      </c>
      <c r="I9" s="9">
        <v>9707.6</v>
      </c>
      <c r="J9" s="9">
        <f>6808.6+2767.5</f>
        <v>9576.1</v>
      </c>
      <c r="K9" s="9">
        <f>6408.3+1822.3</f>
        <v>8230.6</v>
      </c>
      <c r="L9" s="9">
        <f>7321.9+2689.1</f>
        <v>10011</v>
      </c>
      <c r="M9" s="9">
        <f>8227.3+3522.7</f>
        <v>11750</v>
      </c>
      <c r="N9" s="9">
        <f>8547.5+2666.4</f>
        <v>11213.9</v>
      </c>
      <c r="O9" s="9">
        <f>8759.1+3123.5</f>
        <v>11882.6</v>
      </c>
      <c r="P9" s="32">
        <f>9287.2+3343.7</f>
        <v>12630.900000000001</v>
      </c>
      <c r="Q9" s="32"/>
      <c r="S9" s="9">
        <v>792</v>
      </c>
      <c r="T9" s="9">
        <v>668.6</v>
      </c>
      <c r="U9" s="9">
        <v>704.3</v>
      </c>
      <c r="V9" s="9">
        <v>644.1</v>
      </c>
      <c r="W9" s="9">
        <v>839.3</v>
      </c>
      <c r="X9" s="9">
        <v>872.1</v>
      </c>
      <c r="Y9" s="9">
        <v>920.2</v>
      </c>
      <c r="Z9" s="9">
        <f>1005.4+850</f>
        <v>1855.4</v>
      </c>
      <c r="AA9" s="9">
        <f>808.6+850.7</f>
        <v>1659.3000000000002</v>
      </c>
      <c r="AB9" s="9">
        <f>1021.2+1485.8</f>
        <v>2507</v>
      </c>
      <c r="AC9" s="9">
        <f>1303.6+1957.3</f>
        <v>3260.8999999999996</v>
      </c>
      <c r="AD9" s="9">
        <f>1443.8+1815.6</f>
        <v>3259.3999999999996</v>
      </c>
      <c r="AE9" s="9">
        <f>1560.7+1969.3</f>
        <v>3530</v>
      </c>
      <c r="AF9" s="9">
        <f>1470.1+2115.3</f>
        <v>3585.4</v>
      </c>
      <c r="AG9" s="9"/>
      <c r="AH9" s="32"/>
      <c r="AI9" s="9">
        <v>4039.2</v>
      </c>
      <c r="AJ9" s="9">
        <v>3953</v>
      </c>
      <c r="AK9" s="40">
        <v>4173.3999999999996</v>
      </c>
      <c r="AL9" s="40">
        <v>4374</v>
      </c>
      <c r="AM9" s="40">
        <v>4314</v>
      </c>
      <c r="AN9" s="40">
        <v>4169.3</v>
      </c>
      <c r="AO9" s="40">
        <v>4512</v>
      </c>
      <c r="AP9" s="40">
        <f>4299.1+468.9</f>
        <v>4768</v>
      </c>
      <c r="AQ9" s="40">
        <f>3985.7+395.8</f>
        <v>4381.5</v>
      </c>
      <c r="AR9" s="40">
        <f>4234.9+665</f>
        <v>4899.8999999999996</v>
      </c>
      <c r="AS9" s="40">
        <f>4787.3+794.4</f>
        <v>5581.7</v>
      </c>
      <c r="AT9" s="40">
        <f>5301.7+860.2</f>
        <v>6161.9</v>
      </c>
      <c r="AU9" s="40">
        <f>5103.5+879.2</f>
        <v>5982.7</v>
      </c>
      <c r="AV9" s="40">
        <f>5103.5+879.2</f>
        <v>5982.7</v>
      </c>
      <c r="AW9" s="40"/>
      <c r="AX9" s="40"/>
      <c r="AY9" s="9">
        <f>19067.8+1303.8-3654.8</f>
        <v>16716.8</v>
      </c>
      <c r="AZ9" s="9">
        <f>19396.5+1333.6-4248.3</f>
        <v>16481.8</v>
      </c>
      <c r="BA9" s="9">
        <f>17403.6+1330.5-1292.1</f>
        <v>17442</v>
      </c>
      <c r="BB9" s="9">
        <f>17360.3+1500.5-1305.6</f>
        <v>17555.2</v>
      </c>
      <c r="BC9" s="9">
        <f>17750.4+1513.6-1262.7</f>
        <v>18001.3</v>
      </c>
      <c r="BD9" s="9">
        <f>17085.1+1593.5-1282.5</f>
        <v>17396.099999999999</v>
      </c>
      <c r="BE9" s="9">
        <f>19056.6+1591.5-2167.1</f>
        <v>18481</v>
      </c>
      <c r="BF9" s="9">
        <f>18400.5+1808-1401.8</f>
        <v>18806.7</v>
      </c>
      <c r="BG9" s="9">
        <f>18088.4+1676.9-1922.8</f>
        <v>17842.500000000004</v>
      </c>
      <c r="BH9" s="9">
        <f>19757.6+1884.7-1755.1</f>
        <v>19887.2</v>
      </c>
      <c r="BI9" s="9">
        <f>23384.2+2242.7-1962.7</f>
        <v>23664.2</v>
      </c>
      <c r="BJ9" s="9">
        <f>22790.8+2401-1827.5</f>
        <v>23364.3</v>
      </c>
      <c r="BK9" s="9">
        <f>23129.5+2410.5-1893.7</f>
        <v>23646.3</v>
      </c>
      <c r="BL9" s="9">
        <f>23782.9-1825.4+2292.1</f>
        <v>24249.599999999999</v>
      </c>
      <c r="BM9" s="9"/>
      <c r="BN9" s="32"/>
      <c r="BO9" s="33">
        <v>41000</v>
      </c>
      <c r="BP9" s="33">
        <v>41365</v>
      </c>
      <c r="BQ9" s="33">
        <v>41730</v>
      </c>
      <c r="BR9" s="33">
        <v>42095</v>
      </c>
      <c r="BS9" s="33">
        <v>42461</v>
      </c>
      <c r="BT9" s="33">
        <v>42826</v>
      </c>
      <c r="BU9" s="33">
        <v>43191</v>
      </c>
      <c r="BV9" s="33">
        <v>43556</v>
      </c>
      <c r="BW9" s="33">
        <v>43922</v>
      </c>
      <c r="BX9" s="33">
        <v>44316</v>
      </c>
      <c r="BY9" s="33">
        <v>44652</v>
      </c>
      <c r="BZ9" s="33">
        <v>45031</v>
      </c>
      <c r="CA9" s="33">
        <v>45383</v>
      </c>
      <c r="CB9" s="33">
        <v>45748</v>
      </c>
      <c r="CC9" s="33"/>
      <c r="CD9" s="37" t="s">
        <v>129</v>
      </c>
    </row>
    <row r="10" spans="1:82" x14ac:dyDescent="0.25">
      <c r="A10" s="14" t="s">
        <v>36</v>
      </c>
      <c r="B10" s="8" t="s">
        <v>37</v>
      </c>
      <c r="C10" s="9">
        <v>1086.2</v>
      </c>
      <c r="D10" s="9">
        <v>1172.5</v>
      </c>
      <c r="E10" s="9">
        <v>1226.3</v>
      </c>
      <c r="F10" s="9">
        <v>1297</v>
      </c>
      <c r="G10" s="9">
        <v>1334.3</v>
      </c>
      <c r="H10" s="9">
        <v>1373.4</v>
      </c>
      <c r="I10" s="9">
        <v>1486.3</v>
      </c>
      <c r="J10" s="9">
        <v>1590.2</v>
      </c>
      <c r="K10" s="9">
        <v>1562.1</v>
      </c>
      <c r="L10" s="9">
        <v>1788.2</v>
      </c>
      <c r="M10" s="9">
        <v>2061.6</v>
      </c>
      <c r="N10" s="9">
        <v>2089.1</v>
      </c>
      <c r="O10" s="9">
        <v>2313.1999999999998</v>
      </c>
      <c r="P10" s="9">
        <v>2531.1999999999998</v>
      </c>
      <c r="Q10" s="9"/>
      <c r="R10" s="32"/>
      <c r="S10" s="9">
        <v>176.1</v>
      </c>
      <c r="T10" s="9">
        <v>203.4</v>
      </c>
      <c r="U10" s="9">
        <v>212.4</v>
      </c>
      <c r="V10" s="9">
        <v>154</v>
      </c>
      <c r="W10" s="9">
        <v>157.4</v>
      </c>
      <c r="X10" s="9">
        <v>108.4</v>
      </c>
      <c r="Y10" s="9">
        <v>92.8</v>
      </c>
      <c r="Z10" s="9">
        <v>112.2</v>
      </c>
      <c r="AA10" s="9">
        <v>76.8</v>
      </c>
      <c r="AB10" s="9">
        <v>144.9</v>
      </c>
      <c r="AC10" s="9">
        <v>199.3</v>
      </c>
      <c r="AD10" s="9">
        <v>282.7</v>
      </c>
      <c r="AE10" s="9">
        <v>270</v>
      </c>
      <c r="AF10" s="9">
        <v>330.3</v>
      </c>
      <c r="AG10" s="9"/>
      <c r="AH10" s="32"/>
      <c r="AI10" s="9" t="s">
        <v>24</v>
      </c>
      <c r="AJ10" s="9" t="s">
        <v>24</v>
      </c>
      <c r="AK10" s="9" t="s">
        <v>24</v>
      </c>
      <c r="AL10" s="9" t="s">
        <v>24</v>
      </c>
      <c r="AM10" s="9" t="s">
        <v>24</v>
      </c>
      <c r="AN10" s="9" t="s">
        <v>24</v>
      </c>
      <c r="AO10" s="9" t="s">
        <v>24</v>
      </c>
      <c r="AP10" s="9" t="s">
        <v>24</v>
      </c>
      <c r="AQ10" s="9" t="s">
        <v>24</v>
      </c>
      <c r="AR10" s="9" t="s">
        <v>24</v>
      </c>
      <c r="AS10" s="9" t="s">
        <v>24</v>
      </c>
      <c r="AT10" s="9" t="s">
        <v>24</v>
      </c>
      <c r="AU10" s="9" t="s">
        <v>24</v>
      </c>
      <c r="AV10" s="9" t="s">
        <v>24</v>
      </c>
      <c r="AW10" s="9"/>
      <c r="AX10" s="9"/>
      <c r="AY10" s="9">
        <v>3697.1</v>
      </c>
      <c r="AZ10" s="9">
        <v>3740.6</v>
      </c>
      <c r="BA10" s="9">
        <v>3890</v>
      </c>
      <c r="BB10" s="9">
        <v>3867.8</v>
      </c>
      <c r="BC10" s="9">
        <v>4025.9</v>
      </c>
      <c r="BD10" s="9">
        <v>3997.4</v>
      </c>
      <c r="BE10" s="9">
        <v>4383.3999999999996</v>
      </c>
      <c r="BF10" s="9">
        <v>4617.3</v>
      </c>
      <c r="BG10" s="9">
        <v>4535.3999999999996</v>
      </c>
      <c r="BH10" s="9">
        <v>5124.8999999999996</v>
      </c>
      <c r="BI10" s="9">
        <v>5814.5</v>
      </c>
      <c r="BJ10" s="9">
        <v>6039.4</v>
      </c>
      <c r="BK10" s="9">
        <v>6418.3</v>
      </c>
      <c r="BL10" s="9">
        <v>6777.7</v>
      </c>
      <c r="BM10" s="9"/>
      <c r="BN10" s="32"/>
      <c r="BO10" s="33">
        <v>41061</v>
      </c>
      <c r="BP10" s="33">
        <v>41426</v>
      </c>
      <c r="BQ10" s="33">
        <v>41791</v>
      </c>
      <c r="BR10" s="33">
        <v>42156</v>
      </c>
      <c r="BS10" s="33">
        <v>42522</v>
      </c>
      <c r="BT10" s="33">
        <v>42887</v>
      </c>
      <c r="BU10" s="33">
        <v>43252</v>
      </c>
      <c r="BV10" s="33">
        <v>43617</v>
      </c>
      <c r="BW10" s="33">
        <v>43983</v>
      </c>
      <c r="BX10" s="33">
        <v>44364</v>
      </c>
      <c r="BY10" s="33">
        <v>44713</v>
      </c>
      <c r="BZ10" s="33">
        <v>45078</v>
      </c>
      <c r="CA10" s="33">
        <v>45413</v>
      </c>
      <c r="CB10" s="33">
        <v>45778</v>
      </c>
      <c r="CC10" s="33"/>
      <c r="CD10" s="28" t="s">
        <v>128</v>
      </c>
    </row>
    <row r="11" spans="1:82" x14ac:dyDescent="0.25">
      <c r="A11" s="14" t="s">
        <v>38</v>
      </c>
      <c r="B11" s="8" t="s">
        <v>39</v>
      </c>
      <c r="C11" s="9" t="s">
        <v>24</v>
      </c>
      <c r="D11" s="9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9" t="s">
        <v>24</v>
      </c>
      <c r="P11" s="9" t="s">
        <v>24</v>
      </c>
      <c r="Q11" s="9"/>
      <c r="R11" s="32"/>
      <c r="S11" s="9">
        <v>2159.1</v>
      </c>
      <c r="T11" s="9">
        <v>2283.6</v>
      </c>
      <c r="U11" s="9">
        <v>2254.8000000000002</v>
      </c>
      <c r="V11" s="9">
        <v>2208.3000000000002</v>
      </c>
      <c r="W11" s="9">
        <v>2147.4</v>
      </c>
      <c r="X11" s="9">
        <v>2339.5</v>
      </c>
      <c r="Y11" s="9">
        <v>2376.1999999999998</v>
      </c>
      <c r="Z11" s="9">
        <v>2694.6</v>
      </c>
      <c r="AA11" s="9">
        <v>2843</v>
      </c>
      <c r="AB11" s="9">
        <v>2876.3</v>
      </c>
      <c r="AC11" s="9">
        <v>3822.2</v>
      </c>
      <c r="AD11" s="9">
        <v>5482.1</v>
      </c>
      <c r="AE11" s="9">
        <v>5774.4</v>
      </c>
      <c r="AF11" s="9">
        <v>5960.9</v>
      </c>
      <c r="AG11" s="9"/>
      <c r="AH11" s="32"/>
      <c r="AI11" s="9">
        <v>18101.400000000001</v>
      </c>
      <c r="AJ11" s="9">
        <v>19158.7</v>
      </c>
      <c r="AK11" s="9">
        <v>20463.599999999999</v>
      </c>
      <c r="AL11" s="9">
        <v>21773</v>
      </c>
      <c r="AM11" s="9">
        <v>23217.3</v>
      </c>
      <c r="AN11" s="9">
        <v>24091.4</v>
      </c>
      <c r="AO11" s="9">
        <v>25070.2</v>
      </c>
      <c r="AP11" s="9">
        <v>26058.5</v>
      </c>
      <c r="AQ11" s="9">
        <v>27022.9</v>
      </c>
      <c r="AR11" s="9">
        <v>27134.6</v>
      </c>
      <c r="AS11" s="9">
        <v>29797.4</v>
      </c>
      <c r="AT11" s="9">
        <v>34577</v>
      </c>
      <c r="AU11" s="9">
        <v>36244.5</v>
      </c>
      <c r="AV11" s="9">
        <v>37738.9</v>
      </c>
      <c r="AW11" s="9"/>
      <c r="AX11" s="9"/>
      <c r="AY11" s="9">
        <v>24506.9</v>
      </c>
      <c r="AZ11" s="9">
        <v>26006.400000000001</v>
      </c>
      <c r="BA11" s="9">
        <v>27140.2</v>
      </c>
      <c r="BB11" s="9">
        <v>28126.799999999999</v>
      </c>
      <c r="BC11" s="9">
        <v>29464.7</v>
      </c>
      <c r="BD11" s="9">
        <v>30793.8</v>
      </c>
      <c r="BE11" s="9">
        <v>32256.9</v>
      </c>
      <c r="BF11" s="9">
        <v>33506.5</v>
      </c>
      <c r="BG11" s="9">
        <v>34449.300000000003</v>
      </c>
      <c r="BH11" s="9">
        <v>34864.9</v>
      </c>
      <c r="BI11" s="9">
        <v>39041.1</v>
      </c>
      <c r="BJ11" s="9">
        <v>45300.6</v>
      </c>
      <c r="BK11" s="9">
        <v>48009.7</v>
      </c>
      <c r="BL11" s="9">
        <v>50200.6</v>
      </c>
      <c r="BM11" s="9"/>
      <c r="BN11" s="32"/>
      <c r="BO11" s="33">
        <v>40909</v>
      </c>
      <c r="BP11" s="33">
        <v>41334</v>
      </c>
      <c r="BQ11" s="33">
        <v>41710</v>
      </c>
      <c r="BR11" s="33">
        <v>42073</v>
      </c>
      <c r="BS11" s="33">
        <v>42388</v>
      </c>
      <c r="BT11" s="33">
        <v>42811</v>
      </c>
      <c r="BU11" s="33">
        <v>43140</v>
      </c>
      <c r="BV11" s="33">
        <v>43525</v>
      </c>
      <c r="BW11" s="33">
        <v>43831</v>
      </c>
      <c r="BX11" s="33">
        <v>44292</v>
      </c>
      <c r="BY11" s="33">
        <v>44562</v>
      </c>
      <c r="BZ11" s="33">
        <v>44998</v>
      </c>
      <c r="CA11" s="33">
        <v>45292</v>
      </c>
      <c r="CB11" s="33">
        <v>45717</v>
      </c>
      <c r="CC11" s="33"/>
      <c r="CD11" s="28" t="s">
        <v>128</v>
      </c>
    </row>
    <row r="12" spans="1:82" x14ac:dyDescent="0.25">
      <c r="A12" s="14" t="s">
        <v>40</v>
      </c>
      <c r="B12" s="8" t="s">
        <v>41</v>
      </c>
      <c r="C12" s="9">
        <v>8604.7980000000007</v>
      </c>
      <c r="D12" s="9">
        <v>8895.8459999999995</v>
      </c>
      <c r="E12" s="9">
        <v>9536.6569999999992</v>
      </c>
      <c r="F12" s="9">
        <v>9839.0409999999993</v>
      </c>
      <c r="G12" s="9">
        <v>10715.557454</v>
      </c>
      <c r="H12" s="9">
        <v>11454.618162999999</v>
      </c>
      <c r="I12" s="9">
        <v>12025.913191</v>
      </c>
      <c r="J12" s="9">
        <v>12754.221</v>
      </c>
      <c r="K12" s="9">
        <v>12653.106825999999</v>
      </c>
      <c r="L12" s="9">
        <v>12738.707793</v>
      </c>
      <c r="M12" s="9">
        <v>14101.897564999999</v>
      </c>
      <c r="N12" s="9">
        <v>14706.897000000001</v>
      </c>
      <c r="O12" s="9">
        <v>15808.929</v>
      </c>
      <c r="P12" s="9">
        <v>15693.797140000001</v>
      </c>
      <c r="Q12" s="9"/>
      <c r="R12" s="32"/>
      <c r="S12" s="9">
        <v>735.41371700000002</v>
      </c>
      <c r="T12" s="9">
        <v>775.31399999999996</v>
      </c>
      <c r="U12" s="9">
        <v>846.66700000000003</v>
      </c>
      <c r="V12" s="9">
        <v>995.53399999999999</v>
      </c>
      <c r="W12" s="9">
        <v>1023.3514</v>
      </c>
      <c r="X12" s="9">
        <v>1042.83</v>
      </c>
      <c r="Y12" s="9">
        <v>1067.9790800000001</v>
      </c>
      <c r="Z12" s="9">
        <v>1259.624024</v>
      </c>
      <c r="AA12" s="9">
        <v>1536.118103</v>
      </c>
      <c r="AB12" s="9">
        <v>880.77725699999996</v>
      </c>
      <c r="AC12" s="9">
        <v>1396.988394</v>
      </c>
      <c r="AD12" s="9">
        <v>1401.7094999999999</v>
      </c>
      <c r="AE12" s="9">
        <v>3062.9079999999999</v>
      </c>
      <c r="AF12" s="9">
        <v>3254.3607830000001</v>
      </c>
      <c r="AG12" s="9"/>
      <c r="AH12" s="32"/>
      <c r="AI12" s="9">
        <v>5560.6526999999996</v>
      </c>
      <c r="AJ12" s="9">
        <v>5094.2969999999996</v>
      </c>
      <c r="AK12" s="9">
        <v>5258.817</v>
      </c>
      <c r="AL12" s="9">
        <v>5593.6090000000004</v>
      </c>
      <c r="AM12" s="9">
        <v>5658.9</v>
      </c>
      <c r="AN12" s="9">
        <v>5848.5469999999996</v>
      </c>
      <c r="AO12" s="9">
        <v>6092.7808240000004</v>
      </c>
      <c r="AP12" s="9">
        <v>6525.1809999999996</v>
      </c>
      <c r="AQ12" s="9">
        <v>6722.1412899999996</v>
      </c>
      <c r="AR12" s="9">
        <v>6649.084116</v>
      </c>
      <c r="AS12" s="9">
        <v>7402.3141960000003</v>
      </c>
      <c r="AT12" s="9">
        <v>8365.657604</v>
      </c>
      <c r="AU12" s="9">
        <v>8369.25</v>
      </c>
      <c r="AV12" s="9">
        <v>9434.9741479999993</v>
      </c>
      <c r="AW12" s="9"/>
      <c r="AX12" s="9"/>
      <c r="AY12" s="9">
        <v>18156.467497000001</v>
      </c>
      <c r="AZ12" s="9">
        <v>18798.348590000001</v>
      </c>
      <c r="BA12" s="9">
        <v>19726.831492000001</v>
      </c>
      <c r="BB12" s="9">
        <v>20647.628487999998</v>
      </c>
      <c r="BC12" s="9">
        <v>22523.214186000001</v>
      </c>
      <c r="BD12" s="9">
        <v>23713.41289</v>
      </c>
      <c r="BE12" s="9">
        <v>24679.053132000001</v>
      </c>
      <c r="BF12" s="9">
        <v>26143.818389</v>
      </c>
      <c r="BG12" s="9">
        <v>26631.766296000002</v>
      </c>
      <c r="BH12" s="9">
        <v>25775.587123000001</v>
      </c>
      <c r="BI12" s="9">
        <v>28634.938837000002</v>
      </c>
      <c r="BJ12" s="9">
        <v>30784.468769999999</v>
      </c>
      <c r="BK12" s="9">
        <v>34425.232212000003</v>
      </c>
      <c r="BL12" s="9">
        <v>35897.957265999998</v>
      </c>
      <c r="BM12" s="9"/>
      <c r="BN12" s="32"/>
      <c r="BO12" s="33">
        <v>40878</v>
      </c>
      <c r="BP12" s="33">
        <v>41244</v>
      </c>
      <c r="BQ12" s="33">
        <v>41609</v>
      </c>
      <c r="BR12" s="33">
        <v>41974</v>
      </c>
      <c r="BS12" s="33">
        <v>42339</v>
      </c>
      <c r="BT12" s="33">
        <v>42705</v>
      </c>
      <c r="BU12" s="33">
        <v>43070</v>
      </c>
      <c r="BV12" s="33">
        <v>43435</v>
      </c>
      <c r="BW12" s="33">
        <v>43800</v>
      </c>
      <c r="BX12" s="33">
        <v>44166</v>
      </c>
      <c r="BY12" s="33">
        <v>44531</v>
      </c>
      <c r="BZ12" s="33">
        <v>44896</v>
      </c>
      <c r="CA12" s="33">
        <v>45261</v>
      </c>
      <c r="CB12" s="33">
        <v>45627</v>
      </c>
      <c r="CC12" s="33"/>
      <c r="CD12" s="28" t="s">
        <v>128</v>
      </c>
    </row>
    <row r="13" spans="1:82" x14ac:dyDescent="0.25">
      <c r="A13" s="14" t="s">
        <v>42</v>
      </c>
      <c r="B13" s="8" t="s">
        <v>43</v>
      </c>
      <c r="C13" s="9">
        <v>1528.684</v>
      </c>
      <c r="D13" s="9">
        <v>1789.7850000000001</v>
      </c>
      <c r="E13" s="9">
        <v>1912.3779999999999</v>
      </c>
      <c r="F13" s="9">
        <v>1915.067</v>
      </c>
      <c r="G13" s="9">
        <v>2130.3200000000002</v>
      </c>
      <c r="H13" s="9">
        <v>2196.8380000000002</v>
      </c>
      <c r="I13" s="9">
        <v>2537.3919999999998</v>
      </c>
      <c r="J13" s="9">
        <v>2659.2510000000002</v>
      </c>
      <c r="K13" s="9">
        <v>2058.2800000000002</v>
      </c>
      <c r="L13" s="9">
        <v>2497.6950000000002</v>
      </c>
      <c r="M13" s="9">
        <v>3861.2570000000001</v>
      </c>
      <c r="N13" s="9">
        <v>3504.931</v>
      </c>
      <c r="O13" s="9">
        <v>2910.1039999999998</v>
      </c>
      <c r="P13" s="9">
        <v>3024.0520000000001</v>
      </c>
      <c r="Q13" s="9"/>
      <c r="R13" s="32"/>
      <c r="S13" s="9">
        <v>58.942999999999998</v>
      </c>
      <c r="T13" s="9">
        <v>82.275000000000006</v>
      </c>
      <c r="U13" s="9">
        <v>69.034000000000006</v>
      </c>
      <c r="V13" s="9">
        <v>99.534000000000006</v>
      </c>
      <c r="W13" s="9">
        <v>80.712999999999994</v>
      </c>
      <c r="X13" s="9">
        <v>83.305000000000007</v>
      </c>
      <c r="Y13" s="9">
        <v>105.42100000000001</v>
      </c>
      <c r="Z13" s="9">
        <v>127.67700000000001</v>
      </c>
      <c r="AA13" s="9">
        <v>111.188</v>
      </c>
      <c r="AB13" s="9">
        <v>148.98599999999999</v>
      </c>
      <c r="AC13" s="9">
        <v>460.66</v>
      </c>
      <c r="AD13" s="9">
        <v>162.178</v>
      </c>
      <c r="AE13" s="9">
        <v>368.91699999999997</v>
      </c>
      <c r="AF13" s="9">
        <v>413.072</v>
      </c>
      <c r="AG13" s="9"/>
      <c r="AH13" s="32"/>
      <c r="AI13" s="9">
        <v>2850.462</v>
      </c>
      <c r="AJ13" s="9">
        <v>3142.442</v>
      </c>
      <c r="AK13" s="9">
        <v>3057.2020000000002</v>
      </c>
      <c r="AL13" s="9">
        <v>3180.489</v>
      </c>
      <c r="AM13" s="9">
        <v>3372.902</v>
      </c>
      <c r="AN13" s="9">
        <v>3459.6289999999999</v>
      </c>
      <c r="AO13" s="9">
        <v>3562.3130000000001</v>
      </c>
      <c r="AP13" s="9">
        <v>3642.53</v>
      </c>
      <c r="AQ13" s="9">
        <v>3044.8020000000001</v>
      </c>
      <c r="AR13" s="9">
        <v>3747.6089999999999</v>
      </c>
      <c r="AS13" s="9">
        <v>4328.9399999999996</v>
      </c>
      <c r="AT13" s="9">
        <v>4363.1369999999997</v>
      </c>
      <c r="AU13" s="9">
        <v>5256.1480000000001</v>
      </c>
      <c r="AV13" s="9">
        <v>4767.259</v>
      </c>
      <c r="AW13" s="9"/>
      <c r="AX13" s="9"/>
      <c r="AY13" s="9">
        <v>5105.8159999999998</v>
      </c>
      <c r="AZ13" s="9">
        <v>5736.2730000000001</v>
      </c>
      <c r="BA13" s="9">
        <v>5744.5330000000004</v>
      </c>
      <c r="BB13" s="9">
        <v>5928.91</v>
      </c>
      <c r="BC13" s="9">
        <v>6389.2340000000004</v>
      </c>
      <c r="BD13" s="9">
        <v>6603.1840000000002</v>
      </c>
      <c r="BE13" s="9">
        <v>7115.0370000000003</v>
      </c>
      <c r="BF13" s="9">
        <v>7400.0680000000002</v>
      </c>
      <c r="BG13" s="9">
        <v>5844.8410000000003</v>
      </c>
      <c r="BH13" s="9">
        <v>7240.4340000000002</v>
      </c>
      <c r="BI13" s="9">
        <v>9744.3510000000006</v>
      </c>
      <c r="BJ13" s="9">
        <v>9635.8700000000008</v>
      </c>
      <c r="BK13" s="9">
        <v>9960.1029999999992</v>
      </c>
      <c r="BL13" s="9">
        <v>9639.6929999999993</v>
      </c>
      <c r="BM13" s="9"/>
      <c r="BN13" s="32"/>
      <c r="BO13" s="33">
        <v>41030</v>
      </c>
      <c r="BP13" s="33">
        <v>41395</v>
      </c>
      <c r="BQ13" s="33">
        <v>41760</v>
      </c>
      <c r="BR13" s="33">
        <v>42125</v>
      </c>
      <c r="BS13" s="33">
        <v>42491</v>
      </c>
      <c r="BT13" s="33">
        <v>42856</v>
      </c>
      <c r="BU13" s="33">
        <v>43221</v>
      </c>
      <c r="BV13" s="33">
        <v>43586</v>
      </c>
      <c r="BW13" s="33">
        <v>43952</v>
      </c>
      <c r="BX13" s="33">
        <v>44317</v>
      </c>
      <c r="BY13" s="33">
        <v>44682</v>
      </c>
      <c r="BZ13" s="33">
        <v>45061</v>
      </c>
      <c r="CA13" s="33">
        <v>45413</v>
      </c>
      <c r="CB13" s="33">
        <v>45778</v>
      </c>
      <c r="CC13" s="33"/>
      <c r="CD13" s="28" t="s">
        <v>129</v>
      </c>
    </row>
    <row r="14" spans="1:82" x14ac:dyDescent="0.25">
      <c r="A14" s="16" t="s">
        <v>44</v>
      </c>
      <c r="B14" s="8" t="s">
        <v>45</v>
      </c>
      <c r="C14" s="9">
        <v>1295</v>
      </c>
      <c r="D14" s="9">
        <v>1313.41</v>
      </c>
      <c r="E14" s="9">
        <v>1403.03</v>
      </c>
      <c r="F14" s="9">
        <v>1488.58</v>
      </c>
      <c r="G14" s="9">
        <v>1606.15</v>
      </c>
      <c r="H14" s="9">
        <v>1666.778</v>
      </c>
      <c r="I14" s="9">
        <v>1853.19</v>
      </c>
      <c r="J14" s="9">
        <v>1954.259</v>
      </c>
      <c r="K14" s="9">
        <v>1875.3910000000001</v>
      </c>
      <c r="L14" s="9">
        <v>2089.4450000000002</v>
      </c>
      <c r="M14" s="9">
        <v>2553.1089999999999</v>
      </c>
      <c r="N14" s="9">
        <v>2162.7950000000001</v>
      </c>
      <c r="O14" s="9">
        <v>2601.192</v>
      </c>
      <c r="P14" s="9">
        <v>2689.056</v>
      </c>
      <c r="Q14" s="9"/>
      <c r="R14" s="32"/>
      <c r="S14" s="9">
        <v>182.84</v>
      </c>
      <c r="T14" s="9">
        <v>194.06</v>
      </c>
      <c r="U14" s="9">
        <v>206.51</v>
      </c>
      <c r="V14" s="9">
        <v>212.48</v>
      </c>
      <c r="W14" s="9">
        <v>222.06</v>
      </c>
      <c r="X14" s="9">
        <v>215.89400000000001</v>
      </c>
      <c r="Y14" s="9">
        <v>234.96</v>
      </c>
      <c r="Z14" s="9">
        <v>256.32299999999998</v>
      </c>
      <c r="AA14" s="9">
        <v>293.00299999999999</v>
      </c>
      <c r="AB14" s="9">
        <v>260.88900000000001</v>
      </c>
      <c r="AC14" s="9">
        <v>324.08</v>
      </c>
      <c r="AD14" s="9">
        <v>872.56299999999999</v>
      </c>
      <c r="AE14" s="9">
        <v>751.93200000000002</v>
      </c>
      <c r="AF14" s="9">
        <v>979.24699999999996</v>
      </c>
      <c r="AG14" s="9"/>
      <c r="AH14" s="32"/>
      <c r="AI14" s="9">
        <v>1082.72</v>
      </c>
      <c r="AJ14" s="9">
        <v>1151.57</v>
      </c>
      <c r="AK14" s="9">
        <v>1233.4100000000001</v>
      </c>
      <c r="AL14" s="9">
        <v>1269.99</v>
      </c>
      <c r="AM14" s="9">
        <v>1345.13</v>
      </c>
      <c r="AN14" s="9">
        <v>1447.1410000000001</v>
      </c>
      <c r="AO14" s="9">
        <v>1546.05</v>
      </c>
      <c r="AP14" s="9">
        <v>1667.0360000000001</v>
      </c>
      <c r="AQ14" s="9">
        <v>1789.171</v>
      </c>
      <c r="AR14" s="9">
        <v>1866.354</v>
      </c>
      <c r="AS14" s="9">
        <v>2272.0770000000002</v>
      </c>
      <c r="AT14" s="10">
        <v>2077.893</v>
      </c>
      <c r="AU14" s="10">
        <v>1942.999</v>
      </c>
      <c r="AV14" s="9">
        <v>1940.0039999999999</v>
      </c>
      <c r="AW14" s="9"/>
      <c r="AX14" s="10"/>
      <c r="AY14" s="9">
        <v>2700.26</v>
      </c>
      <c r="AZ14" s="9">
        <v>2799.11</v>
      </c>
      <c r="BA14" s="9">
        <v>2987.77</v>
      </c>
      <c r="BB14" s="9">
        <v>3127.64</v>
      </c>
      <c r="BC14" s="9">
        <v>3340.37</v>
      </c>
      <c r="BD14" s="9">
        <v>3507.4369999999999</v>
      </c>
      <c r="BE14" s="9">
        <v>3823.13</v>
      </c>
      <c r="BF14" s="9">
        <v>4057.43</v>
      </c>
      <c r="BG14" s="9">
        <v>4148.5720000000001</v>
      </c>
      <c r="BH14" s="9">
        <v>4403.9979999999996</v>
      </c>
      <c r="BI14" s="9">
        <v>5464.0709999999999</v>
      </c>
      <c r="BJ14" s="9">
        <v>5547.1109999999999</v>
      </c>
      <c r="BK14" s="9">
        <v>5698.2420000000002</v>
      </c>
      <c r="BL14" s="9">
        <v>6077.6189999999997</v>
      </c>
      <c r="BM14" s="9"/>
      <c r="BN14" s="32"/>
      <c r="BO14" s="33">
        <v>40909</v>
      </c>
      <c r="BP14" s="33">
        <v>41275</v>
      </c>
      <c r="BQ14" s="33">
        <v>41640</v>
      </c>
      <c r="BR14" s="33">
        <v>42005</v>
      </c>
      <c r="BS14" s="33">
        <v>42370</v>
      </c>
      <c r="BT14" s="33">
        <v>42736</v>
      </c>
      <c r="BU14" s="33">
        <v>43101</v>
      </c>
      <c r="BV14" s="33">
        <v>43466</v>
      </c>
      <c r="BW14" s="33">
        <v>43831</v>
      </c>
      <c r="BX14" s="33">
        <v>44197</v>
      </c>
      <c r="BY14" s="33">
        <v>44562</v>
      </c>
      <c r="BZ14" s="33">
        <v>44927</v>
      </c>
      <c r="CA14" s="33">
        <v>45292</v>
      </c>
      <c r="CB14" s="33">
        <v>45658</v>
      </c>
      <c r="CC14" s="33"/>
      <c r="CD14" s="28" t="s">
        <v>128</v>
      </c>
    </row>
    <row r="15" spans="1:82" x14ac:dyDescent="0.25">
      <c r="A15" s="14" t="s">
        <v>46</v>
      </c>
      <c r="B15" s="8" t="s">
        <v>47</v>
      </c>
      <c r="C15" s="9">
        <f>16879-1646</f>
        <v>15233</v>
      </c>
      <c r="D15" s="9">
        <f>17713-1727</f>
        <v>15986</v>
      </c>
      <c r="E15" s="9">
        <f>16717-1672</f>
        <v>15045</v>
      </c>
      <c r="F15" s="9">
        <f>14766-1477</f>
        <v>13289</v>
      </c>
      <c r="G15" s="9">
        <f>15354-1535</f>
        <v>13819</v>
      </c>
      <c r="H15" s="9">
        <f>15688-1569</f>
        <v>14119</v>
      </c>
      <c r="I15" s="9">
        <f>21071-2044</f>
        <v>19027</v>
      </c>
      <c r="J15" s="9">
        <f>22128-2157</f>
        <v>19971</v>
      </c>
      <c r="K15" s="9">
        <f>23643-2187</f>
        <v>21456</v>
      </c>
      <c r="L15" s="9">
        <f>23584-2181</f>
        <v>21403</v>
      </c>
      <c r="M15" s="9">
        <f>26687-2469</f>
        <v>24218</v>
      </c>
      <c r="N15" s="9">
        <f>29235-2704</f>
        <v>26531</v>
      </c>
      <c r="O15" s="9">
        <f>31254-2860</f>
        <v>28394</v>
      </c>
      <c r="P15" s="9">
        <f>33241-3042</f>
        <v>30199</v>
      </c>
      <c r="Q15" s="9"/>
      <c r="R15" s="32"/>
      <c r="S15" s="9">
        <f>3070-430</f>
        <v>2640</v>
      </c>
      <c r="T15" s="9">
        <f>3391-475</f>
        <v>2916</v>
      </c>
      <c r="U15" s="9">
        <f>3267-457</f>
        <v>2810</v>
      </c>
      <c r="V15" s="9">
        <f>2700-446</f>
        <v>2254</v>
      </c>
      <c r="W15" s="9">
        <f>2648-410</f>
        <v>2238</v>
      </c>
      <c r="X15" s="9">
        <f>1900-333</f>
        <v>1567</v>
      </c>
      <c r="Y15" s="9">
        <f>2618-406</f>
        <v>2212</v>
      </c>
      <c r="Z15" s="9">
        <f>2890-426</f>
        <v>2464</v>
      </c>
      <c r="AA15" s="9">
        <f>3201-448</f>
        <v>2753</v>
      </c>
      <c r="AB15" s="9">
        <f>3240-486</f>
        <v>2754</v>
      </c>
      <c r="AC15" s="9">
        <f>5471-793</f>
        <v>4678</v>
      </c>
      <c r="AD15" s="9">
        <f>6832-956</f>
        <v>5876</v>
      </c>
      <c r="AE15" s="9">
        <f>6040-846</f>
        <v>5194</v>
      </c>
      <c r="AF15" s="9">
        <f>5969-836</f>
        <v>5133</v>
      </c>
      <c r="AG15" s="9"/>
      <c r="AH15" s="32"/>
      <c r="AI15" s="9">
        <v>7340</v>
      </c>
      <c r="AJ15" s="9">
        <v>7348</v>
      </c>
      <c r="AK15" s="9">
        <v>7842</v>
      </c>
      <c r="AL15" s="9">
        <v>8280</v>
      </c>
      <c r="AM15" s="9">
        <v>8203</v>
      </c>
      <c r="AN15" s="9">
        <v>8380</v>
      </c>
      <c r="AO15" s="9">
        <v>8491</v>
      </c>
      <c r="AP15" s="9">
        <v>9022</v>
      </c>
      <c r="AQ15" s="9">
        <v>9503</v>
      </c>
      <c r="AR15" s="9">
        <v>9486</v>
      </c>
      <c r="AS15" s="9">
        <v>10919</v>
      </c>
      <c r="AT15" s="9">
        <v>11897</v>
      </c>
      <c r="AU15" s="9">
        <v>11987</v>
      </c>
      <c r="AV15" s="9">
        <v>12039</v>
      </c>
      <c r="AW15" s="9"/>
      <c r="AX15" s="9"/>
      <c r="AY15" s="9">
        <v>32131</v>
      </c>
      <c r="AZ15" s="9">
        <v>33283</v>
      </c>
      <c r="BA15" s="9">
        <v>32747</v>
      </c>
      <c r="BB15" s="9">
        <v>30540</v>
      </c>
      <c r="BC15" s="9">
        <v>31012</v>
      </c>
      <c r="BD15" s="9">
        <v>30880</v>
      </c>
      <c r="BE15" s="9">
        <v>37593</v>
      </c>
      <c r="BF15" s="9">
        <v>39162</v>
      </c>
      <c r="BG15" s="9">
        <v>41634</v>
      </c>
      <c r="BH15" s="9">
        <v>41046</v>
      </c>
      <c r="BI15" s="9">
        <v>48245</v>
      </c>
      <c r="BJ15" s="9">
        <v>53397</v>
      </c>
      <c r="BK15" s="9">
        <v>55482</v>
      </c>
      <c r="BL15" s="9">
        <v>57718</v>
      </c>
      <c r="BM15" s="9"/>
      <c r="BN15" s="32"/>
      <c r="BO15" s="33">
        <v>40969</v>
      </c>
      <c r="BP15" s="33">
        <v>41306</v>
      </c>
      <c r="BQ15" s="33">
        <v>41699</v>
      </c>
      <c r="BR15" s="33">
        <v>42064</v>
      </c>
      <c r="BS15" s="33">
        <v>42430</v>
      </c>
      <c r="BT15" s="33">
        <v>42795</v>
      </c>
      <c r="BU15" s="33">
        <v>43160</v>
      </c>
      <c r="BV15" s="33">
        <v>43525</v>
      </c>
      <c r="BW15" s="33">
        <v>43891</v>
      </c>
      <c r="BX15" s="33">
        <v>44256</v>
      </c>
      <c r="BY15" s="33">
        <v>44621</v>
      </c>
      <c r="BZ15" s="33">
        <v>44986</v>
      </c>
      <c r="CA15" s="33">
        <v>45383</v>
      </c>
      <c r="CB15" s="33">
        <v>45717</v>
      </c>
      <c r="CC15" s="33"/>
      <c r="CD15" s="28" t="s">
        <v>128</v>
      </c>
    </row>
    <row r="16" spans="1:82" x14ac:dyDescent="0.25">
      <c r="A16" s="14" t="s">
        <v>48</v>
      </c>
      <c r="B16" s="8" t="s">
        <v>49</v>
      </c>
      <c r="C16" s="9">
        <v>5084</v>
      </c>
      <c r="D16" s="9">
        <v>5162.7</v>
      </c>
      <c r="E16" s="9">
        <v>5279.6</v>
      </c>
      <c r="F16" s="9">
        <v>5121.8</v>
      </c>
      <c r="G16" s="9">
        <v>5372.1</v>
      </c>
      <c r="H16" s="9">
        <v>5661</v>
      </c>
      <c r="I16" s="9">
        <v>5922.9</v>
      </c>
      <c r="J16" s="9">
        <v>6174.1</v>
      </c>
      <c r="K16" s="9">
        <v>6395.5</v>
      </c>
      <c r="L16" s="9">
        <v>6710.6</v>
      </c>
      <c r="M16" s="9">
        <v>7578.9</v>
      </c>
      <c r="N16" s="9">
        <v>7907.4</v>
      </c>
      <c r="O16" s="9">
        <v>8283.6</v>
      </c>
      <c r="P16" s="9">
        <v>8861.5</v>
      </c>
      <c r="Q16" s="9"/>
      <c r="R16" s="32"/>
      <c r="S16" s="9">
        <v>784.9</v>
      </c>
      <c r="T16" s="9">
        <v>900.3</v>
      </c>
      <c r="U16" s="9">
        <v>920.5</v>
      </c>
      <c r="V16" s="9">
        <v>984.7</v>
      </c>
      <c r="W16" s="9">
        <v>966.3</v>
      </c>
      <c r="X16" s="9">
        <v>949.2</v>
      </c>
      <c r="Y16" s="9">
        <v>870.7</v>
      </c>
      <c r="Z16" s="9">
        <v>850.9</v>
      </c>
      <c r="AA16" s="9">
        <v>872.4</v>
      </c>
      <c r="AB16" s="9">
        <v>883.8</v>
      </c>
      <c r="AC16" s="9">
        <v>1281.7</v>
      </c>
      <c r="AD16" s="9">
        <v>1358.4</v>
      </c>
      <c r="AE16" s="9">
        <v>1202.5</v>
      </c>
      <c r="AF16" s="9">
        <v>1304.2</v>
      </c>
      <c r="AG16" s="9"/>
      <c r="AH16" s="32"/>
      <c r="AI16" s="9">
        <v>6864.6</v>
      </c>
      <c r="AJ16" s="9">
        <v>7088.4</v>
      </c>
      <c r="AK16" s="9">
        <v>7242.9</v>
      </c>
      <c r="AL16" s="9">
        <v>7504.7</v>
      </c>
      <c r="AM16" s="9">
        <v>7665.3</v>
      </c>
      <c r="AN16" s="9">
        <v>7630.2</v>
      </c>
      <c r="AO16" s="9">
        <v>7837.9</v>
      </c>
      <c r="AP16" s="9">
        <v>8075.8</v>
      </c>
      <c r="AQ16" s="9">
        <v>8459.7999999999993</v>
      </c>
      <c r="AR16" s="9">
        <v>9074.4</v>
      </c>
      <c r="AS16" s="9">
        <v>9940.2999999999993</v>
      </c>
      <c r="AT16" s="10">
        <v>10815.2</v>
      </c>
      <c r="AU16" s="10">
        <v>10916.9</v>
      </c>
      <c r="AV16" s="9">
        <v>11092.6</v>
      </c>
      <c r="AW16" s="9"/>
      <c r="AX16" s="10"/>
      <c r="AY16" s="9">
        <v>14432</v>
      </c>
      <c r="AZ16" s="9">
        <v>14728.2</v>
      </c>
      <c r="BA16" s="9">
        <v>14858.7</v>
      </c>
      <c r="BB16" s="9">
        <v>14971.1</v>
      </c>
      <c r="BC16" s="9">
        <v>15343.3</v>
      </c>
      <c r="BD16" s="9">
        <v>15588.2</v>
      </c>
      <c r="BE16" s="9">
        <v>15961.6</v>
      </c>
      <c r="BF16" s="9">
        <v>16552</v>
      </c>
      <c r="BG16" s="9">
        <v>17259.900000000001</v>
      </c>
      <c r="BH16" s="9">
        <v>18076.900000000001</v>
      </c>
      <c r="BI16" s="9">
        <v>20279.7</v>
      </c>
      <c r="BJ16" s="9">
        <v>21854.1</v>
      </c>
      <c r="BK16" s="9">
        <v>22313.3</v>
      </c>
      <c r="BL16" s="9">
        <v>23192.400000000001</v>
      </c>
      <c r="BM16" s="9"/>
      <c r="BN16" s="32"/>
      <c r="BO16" s="33">
        <v>40878</v>
      </c>
      <c r="BP16" s="33">
        <v>41365</v>
      </c>
      <c r="BQ16" s="33">
        <v>41609</v>
      </c>
      <c r="BR16" s="33">
        <v>42095</v>
      </c>
      <c r="BS16" s="33">
        <v>42339</v>
      </c>
      <c r="BT16" s="33">
        <v>42826</v>
      </c>
      <c r="BU16" s="33">
        <v>43070</v>
      </c>
      <c r="BV16" s="33">
        <v>43556</v>
      </c>
      <c r="BW16" s="33">
        <v>43800</v>
      </c>
      <c r="BX16" s="33">
        <v>44287</v>
      </c>
      <c r="BY16" s="33">
        <v>44531</v>
      </c>
      <c r="BZ16" s="33">
        <v>45017</v>
      </c>
      <c r="CA16" s="33">
        <v>45261</v>
      </c>
      <c r="CB16" s="33">
        <v>45627</v>
      </c>
      <c r="CC16" s="33"/>
      <c r="CD16" s="28" t="s">
        <v>129</v>
      </c>
    </row>
    <row r="17" spans="1:82" x14ac:dyDescent="0.25">
      <c r="A17" s="14" t="s">
        <v>50</v>
      </c>
      <c r="B17" s="8" t="s">
        <v>51</v>
      </c>
      <c r="C17" s="9">
        <v>3786.7</v>
      </c>
      <c r="D17" s="9">
        <v>4133.5</v>
      </c>
      <c r="E17" s="9">
        <v>4291.3999999999996</v>
      </c>
      <c r="F17" s="9">
        <v>4493.5</v>
      </c>
      <c r="G17" s="9">
        <v>4742.3999999999996</v>
      </c>
      <c r="H17" s="9">
        <v>4743.3999999999996</v>
      </c>
      <c r="I17" s="9">
        <v>4985.3999999999996</v>
      </c>
      <c r="J17" s="9">
        <v>4830.8</v>
      </c>
      <c r="K17" s="9">
        <v>5050.6000000000004</v>
      </c>
      <c r="L17" s="9">
        <v>5129.2</v>
      </c>
      <c r="M17" s="9">
        <v>5392.1</v>
      </c>
      <c r="N17" s="9">
        <v>5136.2</v>
      </c>
      <c r="O17" s="9">
        <v>5523.4</v>
      </c>
      <c r="P17" s="9">
        <v>4753.7</v>
      </c>
      <c r="Q17" s="9"/>
      <c r="R17" s="32"/>
      <c r="S17" s="9">
        <v>511.3</v>
      </c>
      <c r="T17" s="9">
        <v>556.6</v>
      </c>
      <c r="U17" s="9">
        <v>610</v>
      </c>
      <c r="V17" s="9">
        <v>560.29999999999995</v>
      </c>
      <c r="W17" s="9">
        <v>531.79999999999995</v>
      </c>
      <c r="X17" s="9">
        <v>525.70000000000005</v>
      </c>
      <c r="Y17" s="9">
        <v>649</v>
      </c>
      <c r="Z17" s="9">
        <v>653</v>
      </c>
      <c r="AA17" s="9">
        <v>692.2</v>
      </c>
      <c r="AB17" s="9">
        <v>742.9</v>
      </c>
      <c r="AC17" s="9">
        <v>828.7</v>
      </c>
      <c r="AD17" s="9">
        <v>893.3</v>
      </c>
      <c r="AE17" s="9">
        <v>945.4</v>
      </c>
      <c r="AF17" s="9">
        <v>815.8</v>
      </c>
      <c r="AG17" s="9"/>
      <c r="AH17" s="32"/>
      <c r="AI17" s="9">
        <v>2538.3000000000002</v>
      </c>
      <c r="AJ17" s="9">
        <v>2676.1</v>
      </c>
      <c r="AK17" s="9">
        <v>2753</v>
      </c>
      <c r="AL17" s="9">
        <v>2891</v>
      </c>
      <c r="AM17" s="9">
        <v>2849.8</v>
      </c>
      <c r="AN17" s="9">
        <v>2980.8</v>
      </c>
      <c r="AO17" s="9">
        <v>3039.3</v>
      </c>
      <c r="AP17" s="9">
        <v>3316.1</v>
      </c>
      <c r="AQ17" s="9">
        <v>3342.1</v>
      </c>
      <c r="AR17" s="9">
        <v>3398.8</v>
      </c>
      <c r="AS17" s="9">
        <v>4002.6</v>
      </c>
      <c r="AT17" s="10">
        <v>3924.7</v>
      </c>
      <c r="AU17" s="10">
        <v>4361.3</v>
      </c>
      <c r="AV17" s="9">
        <v>4430.3999999999996</v>
      </c>
      <c r="AW17" s="9"/>
      <c r="AX17" s="10"/>
      <c r="AY17" s="9">
        <v>6280.6</v>
      </c>
      <c r="AZ17" s="9">
        <v>6870.6</v>
      </c>
      <c r="BA17" s="9">
        <v>6983.2</v>
      </c>
      <c r="BB17" s="9">
        <v>7175.5</v>
      </c>
      <c r="BC17" s="9">
        <v>7357.4</v>
      </c>
      <c r="BD17" s="9">
        <v>7364.5</v>
      </c>
      <c r="BE17" s="9">
        <v>7733.8</v>
      </c>
      <c r="BF17" s="9">
        <v>7848.4</v>
      </c>
      <c r="BG17" s="9">
        <v>8236.7000000000007</v>
      </c>
      <c r="BH17" s="9">
        <v>8385.6</v>
      </c>
      <c r="BI17" s="9">
        <v>9156.2999999999993</v>
      </c>
      <c r="BJ17" s="9">
        <v>9650.2999999999993</v>
      </c>
      <c r="BK17" s="9">
        <v>9697.7999999999993</v>
      </c>
      <c r="BL17" s="9">
        <v>8507.9</v>
      </c>
      <c r="BM17" s="9"/>
      <c r="BN17" s="32"/>
      <c r="BO17" s="33">
        <v>40969</v>
      </c>
      <c r="BP17" s="33">
        <v>41334</v>
      </c>
      <c r="BQ17" s="33">
        <v>41699</v>
      </c>
      <c r="BR17" s="33">
        <v>42064</v>
      </c>
      <c r="BS17" s="33">
        <v>42430</v>
      </c>
      <c r="BT17" s="33">
        <v>42795</v>
      </c>
      <c r="BU17" s="33">
        <v>43160</v>
      </c>
      <c r="BV17" s="33">
        <v>43525</v>
      </c>
      <c r="BW17" s="33">
        <v>43891</v>
      </c>
      <c r="BX17" s="33">
        <v>44274</v>
      </c>
      <c r="BY17" s="33">
        <v>44621</v>
      </c>
      <c r="BZ17" s="33">
        <v>44995</v>
      </c>
      <c r="CA17" s="33">
        <v>45352</v>
      </c>
      <c r="CB17" s="33">
        <v>45717</v>
      </c>
      <c r="CC17" s="33"/>
      <c r="CD17" s="28" t="s">
        <v>128</v>
      </c>
    </row>
    <row r="18" spans="1:82" x14ac:dyDescent="0.25">
      <c r="A18" s="14" t="s">
        <v>52</v>
      </c>
      <c r="B18" s="8" t="s">
        <v>53</v>
      </c>
      <c r="C18" s="9">
        <v>2870.8</v>
      </c>
      <c r="D18" s="9">
        <v>2524.6849999999999</v>
      </c>
      <c r="E18" s="9">
        <v>2519.288</v>
      </c>
      <c r="F18" s="9">
        <v>2461.8000000000002</v>
      </c>
      <c r="G18" s="9">
        <v>2377</v>
      </c>
      <c r="H18" s="9">
        <v>2927</v>
      </c>
      <c r="I18" s="9">
        <v>3334.17</v>
      </c>
      <c r="J18" s="9">
        <v>3750</v>
      </c>
      <c r="K18" s="9">
        <v>3770</v>
      </c>
      <c r="L18" s="9">
        <v>3688.63</v>
      </c>
      <c r="M18" s="9">
        <v>4661.6000000000004</v>
      </c>
      <c r="N18" s="9">
        <v>4798.8</v>
      </c>
      <c r="O18" s="9">
        <v>4186.2</v>
      </c>
      <c r="P18" s="9">
        <v>4670.38</v>
      </c>
      <c r="Q18" s="9"/>
      <c r="R18" s="32"/>
      <c r="S18" s="9">
        <f>270+26</f>
        <v>296</v>
      </c>
      <c r="T18" s="9">
        <f>370+31</f>
        <v>401</v>
      </c>
      <c r="U18" s="9">
        <f>425+37.45</f>
        <v>462.45</v>
      </c>
      <c r="V18" s="9">
        <v>489</v>
      </c>
      <c r="W18" s="9">
        <v>436</v>
      </c>
      <c r="X18" s="9">
        <v>316</v>
      </c>
      <c r="Y18" s="9">
        <v>394</v>
      </c>
      <c r="Z18" s="9">
        <f>450+42</f>
        <v>492</v>
      </c>
      <c r="AA18" s="9">
        <f>370+48</f>
        <v>418</v>
      </c>
      <c r="AB18" s="9">
        <f>282.52+48.7</f>
        <v>331.21999999999997</v>
      </c>
      <c r="AC18" s="9">
        <f>650+46</f>
        <v>696</v>
      </c>
      <c r="AD18" s="9">
        <f>1295.255+50</f>
        <v>1345.2550000000001</v>
      </c>
      <c r="AE18" s="9">
        <f>1561.5+45.2</f>
        <v>1606.7</v>
      </c>
      <c r="AF18" s="9">
        <f>1325+45</f>
        <v>1370</v>
      </c>
      <c r="AG18" s="9"/>
      <c r="AH18" s="32"/>
      <c r="AI18" s="9">
        <f>2225+350</f>
        <v>2575</v>
      </c>
      <c r="AJ18" s="9">
        <f>2087.5+320.7</f>
        <v>2408.1999999999998</v>
      </c>
      <c r="AK18" s="9">
        <f>2168.188+358.984</f>
        <v>2527.172</v>
      </c>
      <c r="AL18" s="9">
        <v>2786.2</v>
      </c>
      <c r="AM18" s="9">
        <v>2754.9119999999998</v>
      </c>
      <c r="AN18" s="9">
        <v>2667.317</v>
      </c>
      <c r="AO18" s="9">
        <v>2766.4270000000001</v>
      </c>
      <c r="AP18" s="9">
        <f>2344.993+440</f>
        <v>2784.9929999999999</v>
      </c>
      <c r="AQ18" s="9">
        <f>2320+450</f>
        <v>2770</v>
      </c>
      <c r="AR18" s="9">
        <f>2466.1+665.5</f>
        <v>3131.6</v>
      </c>
      <c r="AS18" s="9">
        <v>3413.9</v>
      </c>
      <c r="AT18" s="9">
        <v>3619.6849999999999</v>
      </c>
      <c r="AU18" s="9">
        <v>3417.9</v>
      </c>
      <c r="AV18" s="9">
        <v>3435</v>
      </c>
      <c r="AW18" s="9"/>
      <c r="AX18" s="9"/>
      <c r="AY18" s="9">
        <v>6174.32</v>
      </c>
      <c r="AZ18" s="9">
        <v>5885.5259999999998</v>
      </c>
      <c r="BA18" s="9">
        <v>5974.5749999999998</v>
      </c>
      <c r="BB18" s="9">
        <v>6325.0330000000004</v>
      </c>
      <c r="BC18" s="9">
        <v>6303.8720000000003</v>
      </c>
      <c r="BD18" s="9">
        <v>6705.4970000000003</v>
      </c>
      <c r="BE18" s="9">
        <v>7003.3459999999995</v>
      </c>
      <c r="BF18" s="9">
        <v>7431.6930000000002</v>
      </c>
      <c r="BG18" s="9">
        <v>7230.5</v>
      </c>
      <c r="BH18" s="9">
        <v>7561.94</v>
      </c>
      <c r="BI18" s="9">
        <v>8907</v>
      </c>
      <c r="BJ18" s="9">
        <v>10351.24</v>
      </c>
      <c r="BK18" s="9">
        <v>9791.6</v>
      </c>
      <c r="BL18" s="9">
        <v>10060.879999999999</v>
      </c>
      <c r="BM18" s="9"/>
      <c r="BN18" s="32"/>
      <c r="BO18" s="33">
        <v>41061</v>
      </c>
      <c r="BP18" s="33">
        <v>41426</v>
      </c>
      <c r="BQ18" s="33">
        <v>41791</v>
      </c>
      <c r="BR18" s="33">
        <v>42186</v>
      </c>
      <c r="BS18" s="33">
        <v>42522</v>
      </c>
      <c r="BT18" s="33">
        <v>42887</v>
      </c>
      <c r="BU18" s="33">
        <v>43221</v>
      </c>
      <c r="BV18" s="33">
        <v>43586</v>
      </c>
      <c r="BW18" s="33">
        <v>43983</v>
      </c>
      <c r="BX18" s="33">
        <v>44348</v>
      </c>
      <c r="BY18" s="33">
        <v>44713</v>
      </c>
      <c r="BZ18" s="33">
        <v>45070</v>
      </c>
      <c r="CA18" s="33">
        <v>45444</v>
      </c>
      <c r="CB18" s="33">
        <v>45809</v>
      </c>
      <c r="CC18" s="33"/>
      <c r="CD18" s="28" t="s">
        <v>128</v>
      </c>
    </row>
    <row r="19" spans="1:82" x14ac:dyDescent="0.25">
      <c r="A19" s="14" t="s">
        <v>54</v>
      </c>
      <c r="B19" s="8" t="s">
        <v>55</v>
      </c>
      <c r="C19" s="9">
        <v>3563.5</v>
      </c>
      <c r="D19" s="9">
        <v>3689.4</v>
      </c>
      <c r="E19" s="9">
        <v>3977.3</v>
      </c>
      <c r="F19" s="9">
        <v>4135.8</v>
      </c>
      <c r="G19" s="9">
        <v>4411.1000000000004</v>
      </c>
      <c r="H19" s="9">
        <v>4588.6000000000004</v>
      </c>
      <c r="I19" s="9">
        <v>4649.5</v>
      </c>
      <c r="J19" s="9">
        <v>4793.2</v>
      </c>
      <c r="K19" s="9">
        <v>4813</v>
      </c>
      <c r="L19" s="9">
        <v>5004.1000000000004</v>
      </c>
      <c r="M19" s="9">
        <v>5342.26</v>
      </c>
      <c r="N19" s="9">
        <v>5249.29</v>
      </c>
      <c r="O19" s="9">
        <v>5548.1</v>
      </c>
      <c r="P19" s="9">
        <v>5742.1</v>
      </c>
      <c r="Q19" s="9"/>
      <c r="R19" s="32"/>
      <c r="S19" s="9">
        <v>359.50547499999999</v>
      </c>
      <c r="T19" s="9">
        <v>365.30454099999997</v>
      </c>
      <c r="U19" s="9">
        <v>697.1</v>
      </c>
      <c r="V19" s="9">
        <v>687.5</v>
      </c>
      <c r="W19" s="9">
        <f>579.4+223.7</f>
        <v>803.09999999999991</v>
      </c>
      <c r="X19" s="9">
        <f>553.1+221.6</f>
        <v>774.7</v>
      </c>
      <c r="Y19" s="9">
        <f>600.6+200.2</f>
        <v>800.8</v>
      </c>
      <c r="Z19" s="9">
        <f>632.3+210.8</f>
        <v>843.09999999999991</v>
      </c>
      <c r="AA19" s="9">
        <v>547.5</v>
      </c>
      <c r="AB19" s="9">
        <v>469.1</v>
      </c>
      <c r="AC19" s="9">
        <v>909.75</v>
      </c>
      <c r="AD19" s="9">
        <v>963.75</v>
      </c>
      <c r="AE19" s="9">
        <v>1283.3</v>
      </c>
      <c r="AF19" s="9">
        <v>1313.4</v>
      </c>
      <c r="AG19" s="9"/>
      <c r="AH19" s="32"/>
      <c r="AI19" s="9">
        <v>3075.2</v>
      </c>
      <c r="AJ19" s="9">
        <v>3172.7</v>
      </c>
      <c r="AK19" s="9">
        <v>3149.6</v>
      </c>
      <c r="AL19" s="9">
        <v>3216.8</v>
      </c>
      <c r="AM19" s="9">
        <v>3539.8</v>
      </c>
      <c r="AN19" s="9">
        <v>3638.4</v>
      </c>
      <c r="AO19" s="9">
        <v>3699.4</v>
      </c>
      <c r="AP19" s="9">
        <v>3791.7</v>
      </c>
      <c r="AQ19" s="9">
        <v>4232.8</v>
      </c>
      <c r="AR19" s="9">
        <v>4336</v>
      </c>
      <c r="AS19" s="9">
        <v>5283.22</v>
      </c>
      <c r="AT19" s="9">
        <v>5625.42</v>
      </c>
      <c r="AU19" s="9">
        <v>6082.1</v>
      </c>
      <c r="AV19" s="9">
        <v>6315.9</v>
      </c>
      <c r="AW19" s="9"/>
      <c r="AX19" s="9"/>
      <c r="AY19" s="9">
        <v>9220.6</v>
      </c>
      <c r="AZ19" s="9">
        <v>9500.2999999999993</v>
      </c>
      <c r="BA19" s="9">
        <v>9794.2999999999993</v>
      </c>
      <c r="BB19" s="9">
        <v>10046.6</v>
      </c>
      <c r="BC19" s="9">
        <v>10617.2</v>
      </c>
      <c r="BD19" s="9">
        <v>10875.5</v>
      </c>
      <c r="BE19" s="9">
        <v>11005.9</v>
      </c>
      <c r="BF19" s="9">
        <v>11290</v>
      </c>
      <c r="BG19" s="9">
        <v>11704</v>
      </c>
      <c r="BH19" s="9">
        <v>11849.8</v>
      </c>
      <c r="BI19" s="9">
        <v>13758.9884</v>
      </c>
      <c r="BJ19" s="9">
        <v>14154.3986</v>
      </c>
      <c r="BK19" s="9">
        <v>15549.5</v>
      </c>
      <c r="BL19" s="9">
        <v>15654.9</v>
      </c>
      <c r="BM19" s="9"/>
      <c r="BN19" s="32"/>
      <c r="BO19" s="41">
        <v>40878</v>
      </c>
      <c r="BP19" s="41">
        <v>40878</v>
      </c>
      <c r="BQ19" s="41">
        <v>41609</v>
      </c>
      <c r="BR19" s="41">
        <v>41609</v>
      </c>
      <c r="BS19" s="41">
        <v>42339</v>
      </c>
      <c r="BT19" s="41">
        <v>42339</v>
      </c>
      <c r="BU19" s="41">
        <v>43070</v>
      </c>
      <c r="BV19" s="41">
        <v>43070</v>
      </c>
      <c r="BW19" s="41">
        <v>43800</v>
      </c>
      <c r="BX19" s="41">
        <v>43800</v>
      </c>
      <c r="BY19" s="41">
        <v>44531</v>
      </c>
      <c r="BZ19" s="41">
        <v>44531</v>
      </c>
      <c r="CA19" s="41">
        <v>45261</v>
      </c>
      <c r="CB19" s="41">
        <v>45261</v>
      </c>
      <c r="CC19" s="41"/>
      <c r="CD19" s="28" t="s">
        <v>130</v>
      </c>
    </row>
    <row r="20" spans="1:82" x14ac:dyDescent="0.25">
      <c r="A20" s="14" t="s">
        <v>56</v>
      </c>
      <c r="B20" s="8" t="s">
        <v>57</v>
      </c>
      <c r="C20" s="9">
        <v>2627.1</v>
      </c>
      <c r="D20" s="9">
        <v>2786.1</v>
      </c>
      <c r="E20" s="9">
        <v>2932.4</v>
      </c>
      <c r="F20" s="9">
        <v>2976.6</v>
      </c>
      <c r="G20" s="9">
        <v>3088.3</v>
      </c>
      <c r="H20" s="9">
        <v>3016.5</v>
      </c>
      <c r="I20" s="9">
        <v>3379.6</v>
      </c>
      <c r="J20" s="9">
        <v>3512.9</v>
      </c>
      <c r="K20" s="9">
        <v>3646.3</v>
      </c>
      <c r="L20" s="9">
        <v>3793.1</v>
      </c>
      <c r="M20" s="9">
        <v>4325.1000000000004</v>
      </c>
      <c r="N20" s="9">
        <v>4486.1000000000004</v>
      </c>
      <c r="O20" s="9">
        <v>4631.7</v>
      </c>
      <c r="P20" s="9">
        <v>3704.1</v>
      </c>
      <c r="Q20" s="9"/>
      <c r="R20" s="32"/>
      <c r="S20" s="9">
        <v>155.9</v>
      </c>
      <c r="T20" s="9">
        <v>340</v>
      </c>
      <c r="U20" s="9">
        <v>350.8</v>
      </c>
      <c r="V20" s="9">
        <v>385</v>
      </c>
      <c r="W20" s="9">
        <v>510.4</v>
      </c>
      <c r="X20" s="9">
        <v>338.5</v>
      </c>
      <c r="Y20" s="9">
        <v>300</v>
      </c>
      <c r="Z20" s="9">
        <v>400</v>
      </c>
      <c r="AA20" s="9">
        <v>422.7</v>
      </c>
      <c r="AB20" s="9">
        <v>500</v>
      </c>
      <c r="AC20" s="9">
        <v>650</v>
      </c>
      <c r="AD20" s="9">
        <v>812.7</v>
      </c>
      <c r="AE20" s="9">
        <v>900</v>
      </c>
      <c r="AF20" s="9">
        <v>1152.5999999999999</v>
      </c>
      <c r="AG20" s="9"/>
      <c r="AH20" s="32"/>
      <c r="AI20" s="9">
        <v>2767.5</v>
      </c>
      <c r="AJ20" s="9">
        <v>2656.8</v>
      </c>
      <c r="AK20" s="9">
        <v>2695.7</v>
      </c>
      <c r="AL20" s="9">
        <v>2827.9</v>
      </c>
      <c r="AM20" s="9">
        <v>3774.5</v>
      </c>
      <c r="AN20" s="9">
        <v>3800.8</v>
      </c>
      <c r="AO20" s="9">
        <v>3108.4</v>
      </c>
      <c r="AP20" s="9">
        <v>3470.5</v>
      </c>
      <c r="AQ20" s="9">
        <v>3197.2</v>
      </c>
      <c r="AR20" s="9">
        <v>3404.5</v>
      </c>
      <c r="AS20" s="9">
        <v>4002.7</v>
      </c>
      <c r="AT20" s="9">
        <v>4432.8</v>
      </c>
      <c r="AU20" s="9">
        <v>4429.8999999999996</v>
      </c>
      <c r="AV20" s="9">
        <v>5405.1</v>
      </c>
      <c r="AW20" s="9"/>
      <c r="AX20" s="9"/>
      <c r="AY20" s="9">
        <v>9957.7999999999993</v>
      </c>
      <c r="AZ20" s="9">
        <v>10213.799999999999</v>
      </c>
      <c r="BA20" s="9">
        <v>10640.4</v>
      </c>
      <c r="BB20" s="9">
        <v>10545.8</v>
      </c>
      <c r="BC20" s="9">
        <v>12032.1</v>
      </c>
      <c r="BD20" s="9">
        <v>11981</v>
      </c>
      <c r="BE20" s="9">
        <v>11467.5</v>
      </c>
      <c r="BF20" s="9">
        <v>12354.4</v>
      </c>
      <c r="BG20" s="9">
        <v>11518.2</v>
      </c>
      <c r="BH20" s="9">
        <v>12296.3</v>
      </c>
      <c r="BI20" s="9">
        <v>13837.2</v>
      </c>
      <c r="BJ20" s="9">
        <v>15277.4</v>
      </c>
      <c r="BK20" s="9">
        <v>15778.8</v>
      </c>
      <c r="BL20" s="9">
        <v>15841.5</v>
      </c>
      <c r="BM20" s="9"/>
      <c r="BN20" s="32"/>
      <c r="BO20" s="33">
        <v>41030</v>
      </c>
      <c r="BP20" s="33">
        <v>41395</v>
      </c>
      <c r="BQ20" s="33">
        <v>41760</v>
      </c>
      <c r="BR20" s="33">
        <v>42125</v>
      </c>
      <c r="BS20" s="33">
        <v>42522</v>
      </c>
      <c r="BT20" s="33">
        <v>42856</v>
      </c>
      <c r="BU20" s="33">
        <v>43191</v>
      </c>
      <c r="BV20" s="33">
        <v>43556</v>
      </c>
      <c r="BW20" s="33">
        <v>43952</v>
      </c>
      <c r="BX20" s="33">
        <v>44317</v>
      </c>
      <c r="BY20" s="33">
        <v>44682</v>
      </c>
      <c r="BZ20" s="33">
        <v>45064</v>
      </c>
      <c r="CA20" s="33">
        <v>45413</v>
      </c>
      <c r="CB20" s="33">
        <v>45778</v>
      </c>
      <c r="CC20" s="33"/>
      <c r="CD20" s="28" t="s">
        <v>128</v>
      </c>
    </row>
    <row r="21" spans="1:82" x14ac:dyDescent="0.25">
      <c r="A21" s="42" t="s">
        <v>58</v>
      </c>
      <c r="B21" s="8" t="s">
        <v>59</v>
      </c>
      <c r="C21" s="9">
        <v>1436.3997139999999</v>
      </c>
      <c r="D21" s="9">
        <v>1392.9939999999999</v>
      </c>
      <c r="E21" s="9">
        <v>1447.229</v>
      </c>
      <c r="F21" s="9">
        <v>1548.776595</v>
      </c>
      <c r="G21" s="9">
        <v>1480.1951759999999</v>
      </c>
      <c r="H21" s="9">
        <v>1684.342294</v>
      </c>
      <c r="I21" s="9">
        <v>1663.055151</v>
      </c>
      <c r="J21" s="9">
        <v>1769.7065</v>
      </c>
      <c r="K21" s="9">
        <v>1851.6812500000001</v>
      </c>
      <c r="L21" s="9">
        <v>1888.0550000000001</v>
      </c>
      <c r="M21" s="9">
        <v>2184.9402300000002</v>
      </c>
      <c r="N21" s="9">
        <v>2395.356714</v>
      </c>
      <c r="O21" s="9">
        <v>2454.4707199999998</v>
      </c>
      <c r="P21" s="9">
        <v>2666.32132</v>
      </c>
      <c r="Q21" s="9"/>
      <c r="R21" s="32"/>
      <c r="S21" s="9">
        <v>216.25420500000001</v>
      </c>
      <c r="T21" s="9">
        <v>185.55857900000001</v>
      </c>
      <c r="U21" s="9">
        <v>177.65122500000001</v>
      </c>
      <c r="V21" s="9">
        <v>150.08460299999999</v>
      </c>
      <c r="W21" s="9">
        <v>156.100471</v>
      </c>
      <c r="X21" s="9">
        <v>165.724242</v>
      </c>
      <c r="Y21" s="9">
        <v>183.55919599999999</v>
      </c>
      <c r="Z21" s="9">
        <v>204.6</v>
      </c>
      <c r="AA21" s="9">
        <v>211.99</v>
      </c>
      <c r="AB21" s="9">
        <v>217.23373699999999</v>
      </c>
      <c r="AC21" s="10">
        <v>335.84819900000002</v>
      </c>
      <c r="AD21" s="9">
        <v>355.90300000000002</v>
      </c>
      <c r="AE21" s="9">
        <v>428</v>
      </c>
      <c r="AF21" s="9">
        <v>376</v>
      </c>
      <c r="AG21" s="9"/>
      <c r="AH21" s="32"/>
      <c r="AI21" s="9">
        <v>994.364193</v>
      </c>
      <c r="AJ21" s="9">
        <v>1022.338181</v>
      </c>
      <c r="AK21" s="9">
        <v>1189.5923330000001</v>
      </c>
      <c r="AL21" s="9">
        <v>1127.4590029999999</v>
      </c>
      <c r="AM21" s="9">
        <v>1321.353711</v>
      </c>
      <c r="AN21" s="9">
        <v>1400.148328</v>
      </c>
      <c r="AO21" s="9">
        <v>1466.032563</v>
      </c>
      <c r="AP21" s="9">
        <v>1570.8098299999999</v>
      </c>
      <c r="AQ21" s="9">
        <v>1695.071678</v>
      </c>
      <c r="AR21" s="10">
        <v>1806.292422</v>
      </c>
      <c r="AS21" s="10">
        <v>2114.5213370000001</v>
      </c>
      <c r="AT21" s="9">
        <v>2190.029172</v>
      </c>
      <c r="AU21" s="9">
        <v>2286.0124820000001</v>
      </c>
      <c r="AV21" s="9">
        <v>2336.1192339999998</v>
      </c>
      <c r="AW21" s="9"/>
      <c r="AX21" s="9"/>
      <c r="AY21" s="9">
        <v>3022.2260759999999</v>
      </c>
      <c r="AZ21" s="9">
        <v>2880.5192430000002</v>
      </c>
      <c r="BA21" s="9">
        <v>3278.301391</v>
      </c>
      <c r="BB21" s="9">
        <v>3142.518939</v>
      </c>
      <c r="BC21" s="9">
        <v>3376.4596999999999</v>
      </c>
      <c r="BD21" s="9">
        <v>3550.7130550000002</v>
      </c>
      <c r="BE21" s="9">
        <v>3689.1660040000002</v>
      </c>
      <c r="BF21" s="9">
        <v>3816.1755459999999</v>
      </c>
      <c r="BG21" s="9">
        <v>4073.720452</v>
      </c>
      <c r="BH21" s="10">
        <v>4248.424876</v>
      </c>
      <c r="BI21" s="10">
        <v>4881.300287</v>
      </c>
      <c r="BJ21" s="9">
        <v>5206.2143450000003</v>
      </c>
      <c r="BK21" s="9">
        <v>5305.5644130000001</v>
      </c>
      <c r="BL21" s="9">
        <v>5539.2851870000004</v>
      </c>
      <c r="BM21" s="9"/>
      <c r="BN21" s="32"/>
      <c r="BO21" s="33">
        <v>40969</v>
      </c>
      <c r="BP21" s="33">
        <v>41395</v>
      </c>
      <c r="BQ21" s="33">
        <v>41699</v>
      </c>
      <c r="BR21" s="33">
        <v>42125</v>
      </c>
      <c r="BS21" s="33">
        <v>42430</v>
      </c>
      <c r="BT21" s="33">
        <v>42856</v>
      </c>
      <c r="BU21" s="33">
        <v>43160</v>
      </c>
      <c r="BV21" s="33">
        <v>43586</v>
      </c>
      <c r="BW21" s="33">
        <v>43891</v>
      </c>
      <c r="BX21" s="33">
        <v>44317</v>
      </c>
      <c r="BY21" s="33">
        <v>44621</v>
      </c>
      <c r="BZ21" s="33">
        <v>45047</v>
      </c>
      <c r="CA21" s="33">
        <v>45352</v>
      </c>
      <c r="CB21" s="33">
        <v>45778</v>
      </c>
      <c r="CC21" s="33"/>
      <c r="CD21" s="37" t="s">
        <v>129</v>
      </c>
    </row>
    <row r="22" spans="1:82" x14ac:dyDescent="0.25">
      <c r="A22" s="34" t="s">
        <v>60</v>
      </c>
      <c r="B22" s="8" t="s">
        <v>61</v>
      </c>
      <c r="C22" s="9">
        <v>7304.2849999999999</v>
      </c>
      <c r="D22" s="9">
        <v>7961.33</v>
      </c>
      <c r="E22" s="9">
        <v>8470.31</v>
      </c>
      <c r="F22" s="9">
        <v>8628.7070000000003</v>
      </c>
      <c r="G22" s="9">
        <v>9273.2109999999993</v>
      </c>
      <c r="H22" s="9">
        <v>9405.7880000000005</v>
      </c>
      <c r="I22" s="9">
        <v>10156.89</v>
      </c>
      <c r="J22" s="9">
        <v>10395.608</v>
      </c>
      <c r="K22" s="9">
        <v>11030.082</v>
      </c>
      <c r="L22" s="9">
        <v>11662.601000000001</v>
      </c>
      <c r="M22" s="9">
        <v>13426.304</v>
      </c>
      <c r="N22" s="9">
        <v>14339.005999999999</v>
      </c>
      <c r="O22" s="9">
        <v>14286.423000000001</v>
      </c>
      <c r="P22" s="9">
        <v>14659.748</v>
      </c>
      <c r="Q22" s="9"/>
      <c r="R22" s="32"/>
      <c r="S22" s="9">
        <v>733.79200000000003</v>
      </c>
      <c r="T22" s="9">
        <v>844.73599999999999</v>
      </c>
      <c r="U22" s="9">
        <v>783.18499999999995</v>
      </c>
      <c r="V22" s="9">
        <v>822.14099999999996</v>
      </c>
      <c r="W22" s="9">
        <v>876.22400000000005</v>
      </c>
      <c r="X22" s="9">
        <v>830.07399999999996</v>
      </c>
      <c r="Y22" s="9">
        <v>929.88699999999994</v>
      </c>
      <c r="Z22" s="9">
        <v>965.26700000000005</v>
      </c>
      <c r="AA22" s="9">
        <v>1101.278</v>
      </c>
      <c r="AB22" s="9">
        <v>1252.1869999999999</v>
      </c>
      <c r="AC22" s="9">
        <v>1685.5540000000001</v>
      </c>
      <c r="AD22" s="9">
        <v>1673.174</v>
      </c>
      <c r="AE22" s="9">
        <v>1746.7</v>
      </c>
      <c r="AF22" s="9">
        <v>1931.942</v>
      </c>
      <c r="AG22" s="9"/>
      <c r="AH22" s="32"/>
      <c r="AI22" s="9">
        <v>4087.0880000000002</v>
      </c>
      <c r="AJ22" s="9">
        <v>4223.6859999999997</v>
      </c>
      <c r="AK22" s="9">
        <v>4344.2939999999999</v>
      </c>
      <c r="AL22" s="9">
        <v>4529.4549999999999</v>
      </c>
      <c r="AM22" s="9">
        <v>4601.71</v>
      </c>
      <c r="AN22" s="9">
        <v>4727.2510000000002</v>
      </c>
      <c r="AO22" s="9">
        <v>4750.875</v>
      </c>
      <c r="AP22" s="9">
        <v>5026.4120000000003</v>
      </c>
      <c r="AQ22" s="9">
        <v>5040.5829999999996</v>
      </c>
      <c r="AR22" s="9">
        <v>4996.8950000000004</v>
      </c>
      <c r="AS22" s="9">
        <v>5807.0789999999997</v>
      </c>
      <c r="AT22" s="9">
        <v>6047.5640000000003</v>
      </c>
      <c r="AU22" s="9">
        <v>6095.9089999999997</v>
      </c>
      <c r="AV22" s="9">
        <v>6124.2979999999998</v>
      </c>
      <c r="AW22" s="9"/>
      <c r="AX22" s="9"/>
      <c r="AY22" s="9">
        <v>14372.264999999999</v>
      </c>
      <c r="AZ22" s="9">
        <v>15312.663</v>
      </c>
      <c r="BA22" s="9">
        <v>15819.177</v>
      </c>
      <c r="BB22" s="9">
        <v>16167.545</v>
      </c>
      <c r="BC22" s="9">
        <v>16938.495999999999</v>
      </c>
      <c r="BD22" s="9">
        <v>17136.583999999999</v>
      </c>
      <c r="BE22" s="9">
        <v>18058.553</v>
      </c>
      <c r="BF22" s="9">
        <v>18584.695</v>
      </c>
      <c r="BG22" s="9">
        <v>19366.544999999998</v>
      </c>
      <c r="BH22" s="9">
        <v>20361.490000000002</v>
      </c>
      <c r="BI22" s="9">
        <v>23525.896000000001</v>
      </c>
      <c r="BJ22" s="9">
        <v>24689.601999999999</v>
      </c>
      <c r="BK22" s="9">
        <v>24783.784</v>
      </c>
      <c r="BL22" s="9">
        <v>25179.237000000001</v>
      </c>
      <c r="BM22" s="9"/>
      <c r="BN22" s="32"/>
      <c r="BO22" s="33">
        <v>40969</v>
      </c>
      <c r="BP22" s="33">
        <v>41334</v>
      </c>
      <c r="BQ22" s="33">
        <v>41699</v>
      </c>
      <c r="BR22" s="33">
        <v>42064</v>
      </c>
      <c r="BS22" s="33">
        <v>42430</v>
      </c>
      <c r="BT22" s="33">
        <v>42795</v>
      </c>
      <c r="BU22" s="33">
        <v>43160</v>
      </c>
      <c r="BV22" s="33">
        <v>43525</v>
      </c>
      <c r="BW22" s="33">
        <v>43891</v>
      </c>
      <c r="BX22" s="33">
        <v>44256</v>
      </c>
      <c r="BY22" s="33">
        <v>44621</v>
      </c>
      <c r="BZ22" s="33">
        <v>44994</v>
      </c>
      <c r="CA22" s="33">
        <v>45352</v>
      </c>
      <c r="CB22" s="33">
        <v>45717</v>
      </c>
      <c r="CC22" s="33"/>
      <c r="CD22" s="28" t="s">
        <v>128</v>
      </c>
    </row>
    <row r="23" spans="1:82" x14ac:dyDescent="0.25">
      <c r="A23" s="14" t="s">
        <v>62</v>
      </c>
      <c r="B23" s="8" t="s">
        <v>63</v>
      </c>
      <c r="C23" s="9">
        <v>12827</v>
      </c>
      <c r="D23" s="9">
        <v>13130.5</v>
      </c>
      <c r="E23" s="9">
        <v>13911</v>
      </c>
      <c r="F23" s="9">
        <v>14793.5</v>
      </c>
      <c r="G23" s="9">
        <v>15544</v>
      </c>
      <c r="H23" s="9">
        <v>15549</v>
      </c>
      <c r="I23" s="9">
        <v>16027</v>
      </c>
      <c r="J23" s="9">
        <v>17164</v>
      </c>
      <c r="K23" s="9">
        <v>17933</v>
      </c>
      <c r="L23" s="9">
        <f>(17614+16103)/2</f>
        <v>16858.5</v>
      </c>
      <c r="M23" s="9">
        <f>(21344+20758)/2</f>
        <v>21051</v>
      </c>
      <c r="N23" s="9">
        <f>(24880+23943)/2</f>
        <v>24411.5</v>
      </c>
      <c r="O23" s="9">
        <f>(25305+24274)/2</f>
        <v>24789.5</v>
      </c>
      <c r="P23" s="9">
        <f>(26613+25588)/2</f>
        <v>26100.5</v>
      </c>
      <c r="Q23" s="9">
        <f>(29091+27928)/2</f>
        <v>28509.5</v>
      </c>
      <c r="R23" s="32"/>
      <c r="S23" s="9">
        <v>1989</v>
      </c>
      <c r="T23" s="9">
        <v>2017</v>
      </c>
      <c r="U23" s="9">
        <v>2346</v>
      </c>
      <c r="V23" s="9">
        <v>2496</v>
      </c>
      <c r="W23" s="9">
        <v>2491.5</v>
      </c>
      <c r="X23" s="9">
        <v>2671.5</v>
      </c>
      <c r="Y23" s="9">
        <v>2627.5</v>
      </c>
      <c r="Z23" s="9">
        <v>2757</v>
      </c>
      <c r="AA23" s="9">
        <v>3142.5</v>
      </c>
      <c r="AB23" s="9">
        <f>(3157+2920)/2</f>
        <v>3038.5</v>
      </c>
      <c r="AC23" s="9">
        <f>(4705+4365)/2</f>
        <v>4535</v>
      </c>
      <c r="AD23" s="9">
        <f>(5191+4911)/2</f>
        <v>5051</v>
      </c>
      <c r="AE23" s="9">
        <f>(5018+4739)/2</f>
        <v>4878.5</v>
      </c>
      <c r="AF23" s="9">
        <f>(4684+4555)/2</f>
        <v>4619.5</v>
      </c>
      <c r="AG23" s="9">
        <f>(3940+3802)/2</f>
        <v>3871</v>
      </c>
      <c r="AH23" s="32"/>
      <c r="AI23" s="9">
        <v>5116</v>
      </c>
      <c r="AJ23" s="9">
        <v>5326</v>
      </c>
      <c r="AK23" s="9">
        <v>5775.5</v>
      </c>
      <c r="AL23" s="9">
        <v>6005.5</v>
      </c>
      <c r="AM23" s="9">
        <v>6515.5</v>
      </c>
      <c r="AN23" s="9">
        <v>6418</v>
      </c>
      <c r="AO23" s="9">
        <v>6576.5</v>
      </c>
      <c r="AP23" s="9">
        <v>7013</v>
      </c>
      <c r="AQ23" s="9">
        <v>7376</v>
      </c>
      <c r="AR23" s="9">
        <f>(7596+6747)/2</f>
        <v>7171.5</v>
      </c>
      <c r="AS23" s="9">
        <f>(8733+8508)/2</f>
        <v>8620.5</v>
      </c>
      <c r="AT23" s="9">
        <f>(9796+9606)/2</f>
        <v>9701</v>
      </c>
      <c r="AU23" s="9">
        <f>(9990+9668)/2</f>
        <v>9829</v>
      </c>
      <c r="AV23" s="9">
        <f>(9990+9766)/2</f>
        <v>9878</v>
      </c>
      <c r="AW23" s="9">
        <f>(10001+9803)/2</f>
        <v>9902</v>
      </c>
      <c r="AX23" s="9"/>
      <c r="AY23" s="9">
        <v>21687.5</v>
      </c>
      <c r="AZ23" s="9">
        <v>22308.5</v>
      </c>
      <c r="BA23" s="9">
        <v>24171</v>
      </c>
      <c r="BB23" s="9">
        <v>25481</v>
      </c>
      <c r="BC23" s="9">
        <v>26757.5</v>
      </c>
      <c r="BD23" s="9">
        <v>26957</v>
      </c>
      <c r="BE23" s="9">
        <v>27478</v>
      </c>
      <c r="BF23" s="9">
        <v>29300.5</v>
      </c>
      <c r="BG23" s="9">
        <v>30805.5</v>
      </c>
      <c r="BH23" s="9">
        <f>(30610+27828)/2</f>
        <v>29219</v>
      </c>
      <c r="BI23" s="9">
        <f>(37684+36484)/2</f>
        <v>37084</v>
      </c>
      <c r="BJ23" s="9">
        <f>(42783+41282)/2</f>
        <v>42032.5</v>
      </c>
      <c r="BK23" s="9">
        <f>(43025+41281)/2</f>
        <v>42153</v>
      </c>
      <c r="BL23" s="9">
        <f>(43847+42392)/2</f>
        <v>43119.5</v>
      </c>
      <c r="BM23" s="9">
        <f>(45840+44265)/2</f>
        <v>45052.5</v>
      </c>
      <c r="BN23" s="43"/>
      <c r="BO23" s="33">
        <v>40878</v>
      </c>
      <c r="BP23" s="33">
        <v>41244</v>
      </c>
      <c r="BQ23" s="33">
        <v>41609</v>
      </c>
      <c r="BR23" s="33">
        <v>42005</v>
      </c>
      <c r="BS23" s="33">
        <v>42339</v>
      </c>
      <c r="BT23" s="33">
        <v>42705</v>
      </c>
      <c r="BU23" s="33">
        <v>43070</v>
      </c>
      <c r="BV23" s="33">
        <v>43435</v>
      </c>
      <c r="BW23" s="33">
        <v>43800</v>
      </c>
      <c r="BX23" s="33">
        <v>44166</v>
      </c>
      <c r="BY23" s="33">
        <v>44531</v>
      </c>
      <c r="BZ23" s="33">
        <v>44950</v>
      </c>
      <c r="CA23" s="33">
        <v>45261</v>
      </c>
      <c r="CB23" s="33">
        <v>45627</v>
      </c>
      <c r="CC23" s="33">
        <v>45992</v>
      </c>
      <c r="CD23" s="28" t="s">
        <v>128</v>
      </c>
    </row>
    <row r="24" spans="1:82" x14ac:dyDescent="0.25">
      <c r="A24" s="12" t="s">
        <v>64</v>
      </c>
      <c r="B24" s="8" t="s">
        <v>65</v>
      </c>
      <c r="C24" s="9">
        <f>5665.1+2255.1</f>
        <v>7920.2000000000007</v>
      </c>
      <c r="D24" s="9">
        <f>5836.3+2390.7</f>
        <v>8227</v>
      </c>
      <c r="E24" s="9">
        <f>6055.3+2441.3</f>
        <v>8496.6</v>
      </c>
      <c r="F24" s="9">
        <f>6364.8+2560.1</f>
        <v>8924.9</v>
      </c>
      <c r="G24" s="9">
        <f>6901.4+2730.8</f>
        <v>9632.2000000000007</v>
      </c>
      <c r="H24" s="9">
        <f>7132.8+2833.4</f>
        <v>9966.2000000000007</v>
      </c>
      <c r="I24" s="9">
        <f>7043+2955.7</f>
        <v>9998.7000000000007</v>
      </c>
      <c r="J24" s="9">
        <f>7029.8+2827.4</f>
        <v>9857.2000000000007</v>
      </c>
      <c r="K24" s="9">
        <f>6233.9+2843.4</f>
        <v>9077.2999999999993</v>
      </c>
      <c r="L24" s="9">
        <f>7299.7+3261.9</f>
        <v>10561.6</v>
      </c>
      <c r="M24" s="9">
        <f>9067.3+3763.1</f>
        <v>12830.4</v>
      </c>
      <c r="N24" s="9">
        <f>7631.1+3855.8</f>
        <v>11486.900000000001</v>
      </c>
      <c r="O24" s="9">
        <f>8318.1+3889.5</f>
        <v>12207.6</v>
      </c>
      <c r="P24" s="9">
        <f>8711.8+4346.8</f>
        <v>13058.599999999999</v>
      </c>
      <c r="Q24" s="9"/>
      <c r="R24" s="32"/>
      <c r="S24" s="9">
        <v>833.7</v>
      </c>
      <c r="T24" s="9">
        <v>960.5</v>
      </c>
      <c r="U24" s="9">
        <v>884</v>
      </c>
      <c r="V24" s="9">
        <v>983.3</v>
      </c>
      <c r="W24" s="9">
        <v>1002</v>
      </c>
      <c r="X24" s="9">
        <v>960</v>
      </c>
      <c r="Y24" s="9">
        <v>955</v>
      </c>
      <c r="Z24" s="9">
        <v>1133.9000000000001</v>
      </c>
      <c r="AA24" s="9">
        <v>889.3</v>
      </c>
      <c r="AB24" s="9">
        <v>1184.2</v>
      </c>
      <c r="AC24" s="9">
        <v>1732.4</v>
      </c>
      <c r="AD24" s="9">
        <v>1425</v>
      </c>
      <c r="AE24" s="9">
        <v>1610</v>
      </c>
      <c r="AF24" s="9">
        <v>2075</v>
      </c>
      <c r="AG24" s="9"/>
      <c r="AH24" s="32"/>
      <c r="AI24" s="9">
        <f>1141.9+831.3+5247.3+415.7</f>
        <v>7636.2</v>
      </c>
      <c r="AJ24" s="9">
        <f>1158.8+877.3+5359.2+438.7</f>
        <v>7833.9999999999991</v>
      </c>
      <c r="AK24" s="9">
        <f>1169.8+945.2+5477.7+472.6</f>
        <v>8065.3</v>
      </c>
      <c r="AL24" s="9">
        <f>1240.9+901.9+5743.6+499</f>
        <v>8385.4000000000015</v>
      </c>
      <c r="AM24" s="9">
        <f>1190.5+653.1+5523+517</f>
        <v>7883.6</v>
      </c>
      <c r="AN24" s="9">
        <f>1261+577.6+5799.6+557.8</f>
        <v>8196</v>
      </c>
      <c r="AO24" s="9">
        <f>1314.7+570.8+6028.4+568.7</f>
        <v>8482.6</v>
      </c>
      <c r="AP24" s="9">
        <f>1361.9+746.8+6300.9+615.3</f>
        <v>9024.8999999999978</v>
      </c>
      <c r="AQ24" s="9">
        <f>1235+669+5729.7+583.3</f>
        <v>8217</v>
      </c>
      <c r="AR24" s="9">
        <f>1411+1212.9+6601.2+869.3</f>
        <v>10094.4</v>
      </c>
      <c r="AS24" s="9">
        <f>1514.3+1222.8+7333.4+888.2</f>
        <v>10958.7</v>
      </c>
      <c r="AT24" s="9">
        <f>1747.1+1157+8064.2+862.1</f>
        <v>11830.4</v>
      </c>
      <c r="AU24" s="9">
        <f>1614.9+1295.2+7819+984.8</f>
        <v>11713.9</v>
      </c>
      <c r="AV24" s="9">
        <f>1658.1+1344+7966.5+1010.3</f>
        <v>11978.9</v>
      </c>
      <c r="AW24" s="9"/>
      <c r="AX24" s="9"/>
      <c r="AY24" s="9">
        <f>11206.8+8967.6</f>
        <v>20174.400000000001</v>
      </c>
      <c r="AZ24" s="9">
        <f>11530.2+9332.7</f>
        <v>20862.900000000001</v>
      </c>
      <c r="BA24" s="9">
        <f>9719.8+11807.4</f>
        <v>21527.199999999997</v>
      </c>
      <c r="BB24" s="9">
        <f>9789.6+12245.8</f>
        <v>22035.4</v>
      </c>
      <c r="BC24" s="9">
        <f>10113.4+12409.6</f>
        <v>22523</v>
      </c>
      <c r="BD24" s="9">
        <f>10369.7+12992.4</f>
        <v>23362.1</v>
      </c>
      <c r="BE24" s="9">
        <f>10433.2+13513.9</f>
        <v>23947.1</v>
      </c>
      <c r="BF24" s="9">
        <f>10766.2+13881.2</f>
        <v>24647.4</v>
      </c>
      <c r="BG24" s="9">
        <f>9574.2+13205.6</f>
        <v>22779.800000000003</v>
      </c>
      <c r="BH24" s="9">
        <f>11755.8+15132.7</f>
        <v>26888.5</v>
      </c>
      <c r="BI24" s="9">
        <f>14304.5+17072.3</f>
        <v>31376.799999999999</v>
      </c>
      <c r="BJ24" s="32">
        <f>13129.2+18050.7</f>
        <v>31179.9</v>
      </c>
      <c r="BK24" s="32">
        <f>14132.7+18224.5</f>
        <v>32357.200000000001</v>
      </c>
      <c r="BL24" s="9">
        <f>14990.5+19002.8</f>
        <v>33993.300000000003</v>
      </c>
      <c r="BM24" s="9"/>
      <c r="BO24" s="33">
        <v>41030</v>
      </c>
      <c r="BP24" s="33">
        <v>41395</v>
      </c>
      <c r="BQ24" s="33">
        <v>41760</v>
      </c>
      <c r="BR24" s="33">
        <v>42125</v>
      </c>
      <c r="BS24" s="33">
        <v>42491</v>
      </c>
      <c r="BT24" s="33">
        <v>42856</v>
      </c>
      <c r="BU24" s="33">
        <v>43221</v>
      </c>
      <c r="BV24" s="33">
        <v>43586</v>
      </c>
      <c r="BW24" s="33">
        <v>43952</v>
      </c>
      <c r="BX24" s="33">
        <v>44317</v>
      </c>
      <c r="BY24" s="33">
        <v>44682</v>
      </c>
      <c r="BZ24" s="33">
        <v>45061</v>
      </c>
      <c r="CA24" s="33">
        <v>45413</v>
      </c>
      <c r="CB24" s="33">
        <v>45778</v>
      </c>
      <c r="CC24" s="33"/>
      <c r="CD24" s="28" t="s">
        <v>128</v>
      </c>
    </row>
    <row r="25" spans="1:82" x14ac:dyDescent="0.25">
      <c r="A25" s="14" t="s">
        <v>66</v>
      </c>
      <c r="B25" s="8" t="s">
        <v>67</v>
      </c>
      <c r="C25" s="9">
        <v>8385</v>
      </c>
      <c r="D25" s="9">
        <v>9138</v>
      </c>
      <c r="E25" s="9">
        <v>10041</v>
      </c>
      <c r="F25" s="9">
        <v>10731</v>
      </c>
      <c r="G25" s="9">
        <v>11146</v>
      </c>
      <c r="H25" s="9">
        <v>11839</v>
      </c>
      <c r="I25" s="9">
        <v>12263</v>
      </c>
      <c r="J25" s="9">
        <v>12523</v>
      </c>
      <c r="K25" s="9">
        <v>13495</v>
      </c>
      <c r="L25" s="9">
        <v>13279</v>
      </c>
      <c r="M25" s="9">
        <v>15697</v>
      </c>
      <c r="N25" s="9">
        <v>15979</v>
      </c>
      <c r="O25" s="9">
        <v>15986</v>
      </c>
      <c r="P25" s="9">
        <v>16332</v>
      </c>
      <c r="Q25" s="9"/>
      <c r="R25" s="32"/>
      <c r="S25" s="9">
        <v>853</v>
      </c>
      <c r="T25" s="9">
        <v>958</v>
      </c>
      <c r="U25" s="9">
        <v>1372</v>
      </c>
      <c r="V25" s="9">
        <v>1299</v>
      </c>
      <c r="W25" s="9">
        <v>1227</v>
      </c>
      <c r="X25" s="9">
        <v>1280</v>
      </c>
      <c r="Y25" s="9">
        <v>1295</v>
      </c>
      <c r="Z25" s="9">
        <v>1479</v>
      </c>
      <c r="AA25" s="9">
        <v>1525</v>
      </c>
      <c r="AB25" s="9">
        <v>1677</v>
      </c>
      <c r="AC25" s="9">
        <v>2051</v>
      </c>
      <c r="AD25" s="9">
        <v>2318</v>
      </c>
      <c r="AE25" s="9">
        <v>3162</v>
      </c>
      <c r="AF25" s="9">
        <v>3183</v>
      </c>
      <c r="AG25" s="9"/>
      <c r="AH25" s="32"/>
      <c r="AI25" s="9">
        <v>4738</v>
      </c>
      <c r="AJ25" s="9">
        <v>5113</v>
      </c>
      <c r="AK25" s="9">
        <v>5282</v>
      </c>
      <c r="AL25" s="9">
        <v>5320</v>
      </c>
      <c r="AM25" s="9">
        <v>5485</v>
      </c>
      <c r="AN25" s="9">
        <v>5592</v>
      </c>
      <c r="AO25" s="9">
        <v>5775</v>
      </c>
      <c r="AP25" s="9">
        <v>5806</v>
      </c>
      <c r="AQ25" s="9">
        <v>6116</v>
      </c>
      <c r="AR25" s="9">
        <v>6251</v>
      </c>
      <c r="AS25" s="9">
        <v>7220</v>
      </c>
      <c r="AT25" s="9">
        <v>7441</v>
      </c>
      <c r="AU25" s="9">
        <v>7790</v>
      </c>
      <c r="AV25" s="9">
        <v>7881</v>
      </c>
      <c r="AW25" s="9"/>
      <c r="AX25" s="9"/>
      <c r="AY25" s="9">
        <f>15916+700</f>
        <v>16616</v>
      </c>
      <c r="AZ25" s="9">
        <f>17351+705</f>
        <v>18056</v>
      </c>
      <c r="BA25" s="9">
        <f>19308+707</f>
        <v>20015</v>
      </c>
      <c r="BB25" s="9">
        <f>19938+703</f>
        <v>20641</v>
      </c>
      <c r="BC25" s="9">
        <f>20522+711</f>
        <v>21233</v>
      </c>
      <c r="BD25" s="9">
        <f>21394+704</f>
        <v>22098</v>
      </c>
      <c r="BE25" s="9">
        <f>22036+711</f>
        <v>22747</v>
      </c>
      <c r="BF25" s="9">
        <f>22581+759</f>
        <v>23340</v>
      </c>
      <c r="BG25" s="9">
        <f>23899+776</f>
        <v>24675</v>
      </c>
      <c r="BH25" s="9">
        <f>24059+712</f>
        <v>24771</v>
      </c>
      <c r="BI25" s="9">
        <f>28042+776</f>
        <v>28818</v>
      </c>
      <c r="BJ25" s="9">
        <f>28676+1322</f>
        <v>29998</v>
      </c>
      <c r="BK25" s="9">
        <f>30002+982</f>
        <v>30984</v>
      </c>
      <c r="BL25" s="9">
        <f>30527+1219</f>
        <v>31746</v>
      </c>
      <c r="BM25" s="9"/>
      <c r="BN25" s="32"/>
      <c r="BO25" s="33">
        <v>40940</v>
      </c>
      <c r="BP25" s="33">
        <v>41306</v>
      </c>
      <c r="BQ25" s="33">
        <v>41671</v>
      </c>
      <c r="BR25" s="33">
        <v>42036</v>
      </c>
      <c r="BS25" s="33">
        <v>42401</v>
      </c>
      <c r="BT25" s="33">
        <v>42767</v>
      </c>
      <c r="BU25" s="33">
        <v>43132</v>
      </c>
      <c r="BV25" s="33">
        <v>43497</v>
      </c>
      <c r="BW25" s="33">
        <v>43862</v>
      </c>
      <c r="BX25" s="33">
        <v>44228</v>
      </c>
      <c r="BY25" s="33">
        <v>44593</v>
      </c>
      <c r="BZ25" s="33">
        <v>44972</v>
      </c>
      <c r="CA25" s="33">
        <v>45346</v>
      </c>
      <c r="CB25" s="33">
        <v>45689</v>
      </c>
      <c r="CC25" s="33"/>
      <c r="CD25" s="37" t="s">
        <v>129</v>
      </c>
    </row>
    <row r="26" spans="1:82" x14ac:dyDescent="0.25">
      <c r="A26" s="34" t="s">
        <v>68</v>
      </c>
      <c r="B26" s="8" t="s">
        <v>69</v>
      </c>
      <c r="C26" s="9">
        <v>1427</v>
      </c>
      <c r="D26" s="9">
        <v>1600.1</v>
      </c>
      <c r="E26" s="9">
        <v>1726.8</v>
      </c>
      <c r="F26" s="9">
        <v>1813.9</v>
      </c>
      <c r="G26" s="9">
        <v>1903.2</v>
      </c>
      <c r="H26" s="9">
        <v>1895.8</v>
      </c>
      <c r="I26" s="9">
        <v>1807.3</v>
      </c>
      <c r="J26" s="9">
        <v>1900</v>
      </c>
      <c r="K26" s="9">
        <v>1942.6</v>
      </c>
      <c r="L26" s="9">
        <v>1850</v>
      </c>
      <c r="M26" s="9">
        <v>2082.5</v>
      </c>
      <c r="N26" s="9">
        <v>2431.4</v>
      </c>
      <c r="O26" s="9">
        <v>2110.1999999999998</v>
      </c>
      <c r="P26" s="9">
        <v>2117.8000000000002</v>
      </c>
      <c r="Q26" s="9"/>
      <c r="R26" s="32"/>
      <c r="S26" s="9">
        <v>456</v>
      </c>
      <c r="T26" s="9">
        <v>480</v>
      </c>
      <c r="U26" s="9">
        <v>562.6</v>
      </c>
      <c r="V26" s="9">
        <v>678</v>
      </c>
      <c r="W26" s="9">
        <v>635</v>
      </c>
      <c r="X26" s="9">
        <v>586.70000000000005</v>
      </c>
      <c r="Y26" s="9">
        <v>550.9</v>
      </c>
      <c r="Z26" s="9">
        <v>517.5</v>
      </c>
      <c r="AA26" s="9">
        <v>563</v>
      </c>
      <c r="AB26" s="9">
        <v>488</v>
      </c>
      <c r="AC26" s="9">
        <v>675</v>
      </c>
      <c r="AD26" s="9">
        <v>897.5</v>
      </c>
      <c r="AE26" s="9">
        <v>970</v>
      </c>
      <c r="AF26" s="9">
        <v>951.1</v>
      </c>
      <c r="AG26" s="9"/>
      <c r="AH26" s="32"/>
      <c r="AI26" s="9">
        <f>1840+202.2</f>
        <v>2042.2</v>
      </c>
      <c r="AJ26" s="9">
        <f>1929.6+223.4</f>
        <v>2153</v>
      </c>
      <c r="AK26" s="9">
        <f>2040+247.9</f>
        <v>2287.9</v>
      </c>
      <c r="AL26" s="9">
        <v>2367.8000000000002</v>
      </c>
      <c r="AM26" s="9">
        <v>2415.1</v>
      </c>
      <c r="AN26" s="9">
        <v>2387.6</v>
      </c>
      <c r="AO26" s="9">
        <v>2333.6</v>
      </c>
      <c r="AP26" s="9">
        <f>2185+292.2</f>
        <v>2477.1999999999998</v>
      </c>
      <c r="AQ26" s="9">
        <f>2228.1+292.3</f>
        <v>2520.4</v>
      </c>
      <c r="AR26" s="9">
        <f>2144+329</f>
        <v>2473</v>
      </c>
      <c r="AS26" s="9">
        <f>2380+378.7</f>
        <v>2758.7</v>
      </c>
      <c r="AT26" s="9">
        <f>2722.8+404</f>
        <v>3126.8</v>
      </c>
      <c r="AU26" s="9">
        <f>2911.9+422.8</f>
        <v>3334.7000000000003</v>
      </c>
      <c r="AV26" s="9">
        <f>2921.6+433</f>
        <v>3354.6</v>
      </c>
      <c r="AW26" s="9"/>
      <c r="AX26" s="9"/>
      <c r="AY26" s="9">
        <v>4693.3</v>
      </c>
      <c r="AZ26" s="9">
        <v>5018.1000000000004</v>
      </c>
      <c r="BA26" s="9">
        <v>5362.1</v>
      </c>
      <c r="BB26" s="9">
        <v>5630.1</v>
      </c>
      <c r="BC26" s="9">
        <v>5703.2</v>
      </c>
      <c r="BD26" s="9">
        <v>5776.1</v>
      </c>
      <c r="BE26" s="9">
        <v>5600</v>
      </c>
      <c r="BF26" s="9">
        <v>5802.2</v>
      </c>
      <c r="BG26" s="9">
        <v>5965.5</v>
      </c>
      <c r="BH26" s="9">
        <v>5754.3</v>
      </c>
      <c r="BI26" s="9">
        <v>6493.5</v>
      </c>
      <c r="BJ26" s="9">
        <v>7523.8</v>
      </c>
      <c r="BK26" s="9">
        <v>7600.1</v>
      </c>
      <c r="BL26" s="9">
        <v>7627</v>
      </c>
      <c r="BM26" s="9"/>
      <c r="BN26" s="32"/>
      <c r="BO26" s="33">
        <v>40848</v>
      </c>
      <c r="BP26" s="33">
        <v>41214</v>
      </c>
      <c r="BQ26" s="36">
        <v>41548</v>
      </c>
      <c r="BR26" s="36">
        <v>41944</v>
      </c>
      <c r="BS26" s="36">
        <v>42278</v>
      </c>
      <c r="BT26" s="36">
        <v>42675</v>
      </c>
      <c r="BU26" s="36">
        <v>43040</v>
      </c>
      <c r="BV26" s="36">
        <v>43405</v>
      </c>
      <c r="BW26" s="36">
        <v>43770</v>
      </c>
      <c r="BX26" s="36">
        <v>44136</v>
      </c>
      <c r="BY26" s="36">
        <v>44501</v>
      </c>
      <c r="BZ26" s="36">
        <v>44866</v>
      </c>
      <c r="CA26" s="36">
        <v>45231</v>
      </c>
      <c r="CB26" s="36">
        <v>45597</v>
      </c>
      <c r="CC26" s="36"/>
      <c r="CD26" s="28" t="s">
        <v>128</v>
      </c>
    </row>
    <row r="27" spans="1:82" x14ac:dyDescent="0.25">
      <c r="A27" s="14" t="s">
        <v>70</v>
      </c>
      <c r="B27" s="8" t="s">
        <v>71</v>
      </c>
      <c r="C27" s="9">
        <v>6084.7</v>
      </c>
      <c r="D27" s="9">
        <v>6370</v>
      </c>
      <c r="E27" s="9">
        <v>6981</v>
      </c>
      <c r="F27" s="9">
        <v>7058.2</v>
      </c>
      <c r="G27" s="9">
        <v>7566.1</v>
      </c>
      <c r="H27" s="9">
        <v>7849.2</v>
      </c>
      <c r="I27" s="9">
        <v>7789.2</v>
      </c>
      <c r="J27" s="9">
        <v>7797.9</v>
      </c>
      <c r="K27" s="9">
        <v>7949.1</v>
      </c>
      <c r="L27" s="9">
        <v>7766.7</v>
      </c>
      <c r="M27" s="9">
        <v>8933.6</v>
      </c>
      <c r="N27" s="9">
        <v>10079.299999999999</v>
      </c>
      <c r="O27" s="9">
        <v>9633.6</v>
      </c>
      <c r="P27" s="9">
        <f>9249.4+910</f>
        <v>10159.4</v>
      </c>
      <c r="Q27" s="9"/>
      <c r="R27" s="32"/>
      <c r="S27" s="9">
        <v>520</v>
      </c>
      <c r="T27" s="9">
        <v>477</v>
      </c>
      <c r="U27" s="9">
        <v>580</v>
      </c>
      <c r="V27" s="9">
        <v>495.7</v>
      </c>
      <c r="W27" s="9">
        <v>520</v>
      </c>
      <c r="X27" s="9">
        <v>377.5</v>
      </c>
      <c r="Y27" s="9">
        <v>490.3</v>
      </c>
      <c r="Z27" s="9">
        <v>487.4</v>
      </c>
      <c r="AA27" s="9">
        <v>493</v>
      </c>
      <c r="AB27" s="9">
        <v>551.6</v>
      </c>
      <c r="AC27" s="9">
        <v>702.7</v>
      </c>
      <c r="AD27" s="9">
        <v>920.1</v>
      </c>
      <c r="AE27" s="9">
        <v>1055.5</v>
      </c>
      <c r="AF27" s="9">
        <v>1099.3</v>
      </c>
      <c r="AG27" s="9"/>
      <c r="AH27" s="32"/>
      <c r="AI27" s="9">
        <v>1940.6</v>
      </c>
      <c r="AJ27" s="9">
        <v>1966</v>
      </c>
      <c r="AK27" s="9">
        <v>2064</v>
      </c>
      <c r="AL27" s="9">
        <v>2077</v>
      </c>
      <c r="AM27" s="9">
        <v>2137.1</v>
      </c>
      <c r="AN27" s="9">
        <v>2187.9</v>
      </c>
      <c r="AO27" s="9">
        <v>2240.9</v>
      </c>
      <c r="AP27" s="9">
        <v>2342.1</v>
      </c>
      <c r="AQ27" s="9">
        <v>2405.3000000000002</v>
      </c>
      <c r="AR27" s="9">
        <v>2285.1</v>
      </c>
      <c r="AS27" s="9">
        <v>2829.8</v>
      </c>
      <c r="AT27" s="9">
        <v>2910.8</v>
      </c>
      <c r="AU27" s="9">
        <v>3200.9</v>
      </c>
      <c r="AV27" s="9">
        <v>3166.1</v>
      </c>
      <c r="AW27" s="9"/>
      <c r="AX27" s="9"/>
      <c r="AY27" s="9">
        <v>7585.6</v>
      </c>
      <c r="AZ27" s="9">
        <v>7928.5</v>
      </c>
      <c r="BA27" s="9">
        <v>8738.5</v>
      </c>
      <c r="BB27" s="9">
        <v>8672.7999999999993</v>
      </c>
      <c r="BC27" s="9">
        <v>9322.7999999999993</v>
      </c>
      <c r="BD27" s="9">
        <v>9398</v>
      </c>
      <c r="BE27" s="9">
        <v>9418.2000000000007</v>
      </c>
      <c r="BF27" s="9">
        <v>9821.7000000000007</v>
      </c>
      <c r="BG27" s="9">
        <v>9983.9</v>
      </c>
      <c r="BH27" s="9">
        <v>9784.5</v>
      </c>
      <c r="BI27" s="9">
        <v>11418.6</v>
      </c>
      <c r="BJ27" s="9">
        <v>13152.7</v>
      </c>
      <c r="BK27" s="9">
        <v>13162.1</v>
      </c>
      <c r="BL27" s="9">
        <v>13562.1</v>
      </c>
      <c r="BM27" s="9"/>
      <c r="BN27" s="32"/>
      <c r="BO27" s="33">
        <v>40878</v>
      </c>
      <c r="BP27" s="33">
        <v>41244</v>
      </c>
      <c r="BQ27" s="33">
        <v>41609</v>
      </c>
      <c r="BR27" s="33">
        <v>41974</v>
      </c>
      <c r="BS27" s="33">
        <v>42339</v>
      </c>
      <c r="BT27" s="33">
        <v>42705</v>
      </c>
      <c r="BU27" s="33">
        <v>43070</v>
      </c>
      <c r="BV27" s="33">
        <v>43435</v>
      </c>
      <c r="BW27" s="33">
        <v>43800</v>
      </c>
      <c r="BX27" s="33">
        <v>44166</v>
      </c>
      <c r="BY27" s="33">
        <v>44531</v>
      </c>
      <c r="BZ27" s="33">
        <v>44896</v>
      </c>
      <c r="CA27" s="33">
        <v>45261</v>
      </c>
      <c r="CB27" s="33">
        <v>45627</v>
      </c>
      <c r="CC27" s="33"/>
      <c r="CD27" s="28" t="s">
        <v>128</v>
      </c>
    </row>
    <row r="28" spans="1:82" x14ac:dyDescent="0.25">
      <c r="A28" s="34" t="s">
        <v>72</v>
      </c>
      <c r="B28" s="8" t="s">
        <v>73</v>
      </c>
      <c r="C28" s="9">
        <v>859.47</v>
      </c>
      <c r="D28" s="9">
        <v>1039.1600000000001</v>
      </c>
      <c r="E28" s="9">
        <v>1104.8979999999999</v>
      </c>
      <c r="F28" s="9">
        <v>1229.127</v>
      </c>
      <c r="G28" s="9">
        <v>1311.1849999999999</v>
      </c>
      <c r="H28" s="9">
        <v>1320.8150000000001</v>
      </c>
      <c r="I28" s="9">
        <v>1404.4380000000001</v>
      </c>
      <c r="J28" s="9">
        <v>1410.943</v>
      </c>
      <c r="K28" s="9">
        <v>1469.7460000000001</v>
      </c>
      <c r="L28" s="9">
        <v>1549.25</v>
      </c>
      <c r="M28" s="9">
        <v>1623.1279999999999</v>
      </c>
      <c r="N28" s="9">
        <v>2086.7559999999999</v>
      </c>
      <c r="O28" s="9">
        <v>2178.3249999999998</v>
      </c>
      <c r="P28" s="9">
        <v>2284.3649999999998</v>
      </c>
      <c r="Q28" s="9"/>
      <c r="R28" s="32"/>
      <c r="S28" s="9">
        <v>127.97499999999999</v>
      </c>
      <c r="T28" s="9">
        <v>154.096</v>
      </c>
      <c r="U28" s="9">
        <v>155.02199999999999</v>
      </c>
      <c r="V28" s="9">
        <v>179.82900000000001</v>
      </c>
      <c r="W28" s="9">
        <v>156.851</v>
      </c>
      <c r="X28" s="9">
        <v>168.76300000000001</v>
      </c>
      <c r="Y28" s="9">
        <v>171.74799999999999</v>
      </c>
      <c r="Z28" s="9">
        <v>165.898</v>
      </c>
      <c r="AA28" s="9">
        <v>167.214</v>
      </c>
      <c r="AB28" s="9">
        <v>159.08799999999999</v>
      </c>
      <c r="AC28" s="9">
        <v>170.78299999999999</v>
      </c>
      <c r="AD28" s="9">
        <v>277.20699999999999</v>
      </c>
      <c r="AE28" s="9">
        <v>271.35599999999999</v>
      </c>
      <c r="AF28" s="9">
        <v>326.21699999999998</v>
      </c>
      <c r="AG28" s="9"/>
      <c r="AH28" s="32"/>
      <c r="AI28" s="9" t="s">
        <v>24</v>
      </c>
      <c r="AJ28" s="9" t="s">
        <v>24</v>
      </c>
      <c r="AK28" s="9" t="s">
        <v>24</v>
      </c>
      <c r="AL28" s="9" t="s">
        <v>24</v>
      </c>
      <c r="AM28" s="9" t="s">
        <v>24</v>
      </c>
      <c r="AN28" s="9" t="s">
        <v>24</v>
      </c>
      <c r="AO28" s="9" t="s">
        <v>24</v>
      </c>
      <c r="AP28" s="9" t="s">
        <v>24</v>
      </c>
      <c r="AQ28" s="9" t="s">
        <v>24</v>
      </c>
      <c r="AR28" s="9" t="s">
        <v>24</v>
      </c>
      <c r="AS28" s="9" t="s">
        <v>24</v>
      </c>
      <c r="AT28" s="9" t="s">
        <v>24</v>
      </c>
      <c r="AU28" s="9" t="s">
        <v>24</v>
      </c>
      <c r="AV28" s="9" t="s">
        <v>24</v>
      </c>
      <c r="AW28" s="9"/>
      <c r="AX28" s="9"/>
      <c r="AY28" s="9">
        <v>1852.134</v>
      </c>
      <c r="AZ28" s="9">
        <v>2056.252</v>
      </c>
      <c r="BA28" s="9">
        <v>2137.41</v>
      </c>
      <c r="BB28" s="9">
        <v>2251.181</v>
      </c>
      <c r="BC28" s="9">
        <v>2357.877</v>
      </c>
      <c r="BD28" s="9">
        <v>2359.3449999999998</v>
      </c>
      <c r="BE28" s="9">
        <v>2476.395</v>
      </c>
      <c r="BF28" s="9">
        <v>2498.558</v>
      </c>
      <c r="BG28" s="9">
        <v>2570.3609999999999</v>
      </c>
      <c r="BH28" s="9">
        <v>2644.011</v>
      </c>
      <c r="BI28" s="9">
        <v>2748.8739999999998</v>
      </c>
      <c r="BJ28" s="9">
        <v>3710.0340000000001</v>
      </c>
      <c r="BK28" s="9">
        <v>3782.68</v>
      </c>
      <c r="BL28" s="9">
        <v>4043.0709999999999</v>
      </c>
      <c r="BM28" s="9"/>
      <c r="BN28" s="32"/>
      <c r="BO28" s="41">
        <v>40603</v>
      </c>
      <c r="BP28" s="41">
        <v>41365</v>
      </c>
      <c r="BQ28" s="41">
        <v>41365</v>
      </c>
      <c r="BR28" s="41">
        <v>42064</v>
      </c>
      <c r="BS28" s="41">
        <v>42064</v>
      </c>
      <c r="BT28" s="41">
        <v>42795</v>
      </c>
      <c r="BU28" s="41">
        <v>42795</v>
      </c>
      <c r="BV28" s="41">
        <v>43556</v>
      </c>
      <c r="BW28" s="41">
        <v>43556</v>
      </c>
      <c r="BX28" s="41">
        <v>44256</v>
      </c>
      <c r="BY28" s="41">
        <v>44256</v>
      </c>
      <c r="BZ28" s="41">
        <v>44986</v>
      </c>
      <c r="CA28" s="41">
        <v>44986</v>
      </c>
      <c r="CB28" s="41">
        <v>45748</v>
      </c>
      <c r="CC28" s="41"/>
      <c r="CD28" s="37" t="s">
        <v>129</v>
      </c>
    </row>
    <row r="29" spans="1:82" x14ac:dyDescent="0.25">
      <c r="A29" s="12" t="s">
        <v>74</v>
      </c>
      <c r="B29" s="8" t="s">
        <v>75</v>
      </c>
      <c r="C29" s="9">
        <v>1870</v>
      </c>
      <c r="D29" s="9">
        <v>2039.395</v>
      </c>
      <c r="E29" s="9">
        <v>2216</v>
      </c>
      <c r="F29" s="9">
        <v>2285</v>
      </c>
      <c r="G29" s="9">
        <v>2440</v>
      </c>
      <c r="H29" s="9">
        <v>2425</v>
      </c>
      <c r="I29" s="9">
        <v>2470</v>
      </c>
      <c r="J29" s="9">
        <v>2625.1</v>
      </c>
      <c r="K29" s="9">
        <v>2765</v>
      </c>
      <c r="L29" s="9">
        <v>2480</v>
      </c>
      <c r="M29" s="9">
        <v>2900</v>
      </c>
      <c r="N29" s="9">
        <v>3150</v>
      </c>
      <c r="O29" s="9">
        <v>2230</v>
      </c>
      <c r="P29" s="9">
        <v>3050</v>
      </c>
      <c r="Q29" s="9"/>
      <c r="R29" s="32"/>
      <c r="S29" s="9">
        <v>230</v>
      </c>
      <c r="T29" s="9">
        <v>265</v>
      </c>
      <c r="U29" s="9">
        <v>263</v>
      </c>
      <c r="V29" s="9">
        <v>330</v>
      </c>
      <c r="W29" s="9">
        <v>310</v>
      </c>
      <c r="X29" s="9">
        <v>265</v>
      </c>
      <c r="Y29" s="9">
        <v>300</v>
      </c>
      <c r="Z29" s="9">
        <v>325</v>
      </c>
      <c r="AA29" s="9">
        <v>370</v>
      </c>
      <c r="AB29" s="9">
        <v>400</v>
      </c>
      <c r="AC29" s="9">
        <v>475</v>
      </c>
      <c r="AD29" s="9">
        <v>575</v>
      </c>
      <c r="AE29" s="9">
        <v>740</v>
      </c>
      <c r="AF29" s="9">
        <v>900</v>
      </c>
      <c r="AG29" s="9"/>
      <c r="AH29" s="32"/>
      <c r="AI29" s="9">
        <v>1485</v>
      </c>
      <c r="AJ29" s="9">
        <v>1499.9960000000001</v>
      </c>
      <c r="AK29" s="9">
        <v>1560</v>
      </c>
      <c r="AL29" s="9">
        <v>1615</v>
      </c>
      <c r="AM29" s="9">
        <v>1610</v>
      </c>
      <c r="AN29" s="9">
        <v>1625</v>
      </c>
      <c r="AO29" s="9">
        <v>1685</v>
      </c>
      <c r="AP29" s="9">
        <v>1750</v>
      </c>
      <c r="AQ29" s="9">
        <v>1820</v>
      </c>
      <c r="AR29" s="9">
        <v>2005</v>
      </c>
      <c r="AS29" s="9">
        <v>2350</v>
      </c>
      <c r="AT29" s="9">
        <v>2500</v>
      </c>
      <c r="AU29" s="9">
        <v>2600</v>
      </c>
      <c r="AV29" s="9">
        <v>2600</v>
      </c>
      <c r="AW29" s="9"/>
      <c r="AX29" s="9"/>
      <c r="AY29" s="9">
        <v>3767.0656060000001</v>
      </c>
      <c r="AZ29" s="9">
        <v>4020.6869999999999</v>
      </c>
      <c r="BA29" s="9">
        <v>4220.4504370000004</v>
      </c>
      <c r="BB29" s="9">
        <v>4473.8559999999998</v>
      </c>
      <c r="BC29" s="9">
        <v>4575</v>
      </c>
      <c r="BD29" s="9">
        <v>4605.4269999999997</v>
      </c>
      <c r="BE29" s="9">
        <v>4730.7339330000004</v>
      </c>
      <c r="BF29" s="9">
        <v>4929.107</v>
      </c>
      <c r="BG29" s="9">
        <v>5175</v>
      </c>
      <c r="BH29" s="9">
        <v>5080</v>
      </c>
      <c r="BI29" s="9">
        <v>5960</v>
      </c>
      <c r="BJ29" s="9">
        <v>6500</v>
      </c>
      <c r="BK29" s="9">
        <v>5840</v>
      </c>
      <c r="BL29" s="9">
        <v>6865</v>
      </c>
      <c r="BM29" s="9"/>
      <c r="BN29" s="32"/>
      <c r="BO29" s="33">
        <v>40940</v>
      </c>
      <c r="BP29" s="33">
        <v>41365</v>
      </c>
      <c r="BQ29" s="35">
        <v>41671</v>
      </c>
      <c r="BR29" s="35">
        <v>42095</v>
      </c>
      <c r="BS29" s="35">
        <v>42401</v>
      </c>
      <c r="BT29" s="35">
        <v>42826</v>
      </c>
      <c r="BU29" s="35">
        <v>43132</v>
      </c>
      <c r="BV29" s="35">
        <v>43556</v>
      </c>
      <c r="BW29" s="35">
        <v>43862</v>
      </c>
      <c r="BX29" s="35">
        <v>44287</v>
      </c>
      <c r="BY29" s="35">
        <v>44593</v>
      </c>
      <c r="BZ29" s="36">
        <v>45017</v>
      </c>
      <c r="CA29" s="36">
        <v>45323</v>
      </c>
      <c r="CB29" s="36">
        <v>45748</v>
      </c>
      <c r="CC29" s="36"/>
      <c r="CD29" s="37" t="s">
        <v>129</v>
      </c>
    </row>
    <row r="30" spans="1:82" x14ac:dyDescent="0.25">
      <c r="A30" s="12" t="s">
        <v>76</v>
      </c>
      <c r="B30" s="8" t="s">
        <v>77</v>
      </c>
      <c r="C30" s="9" t="s">
        <v>24</v>
      </c>
      <c r="D30" s="9" t="s">
        <v>24</v>
      </c>
      <c r="E30" s="9" t="s">
        <v>24</v>
      </c>
      <c r="F30" s="9" t="s">
        <v>24</v>
      </c>
      <c r="G30" s="9" t="s">
        <v>24</v>
      </c>
      <c r="H30" s="9" t="s">
        <v>24</v>
      </c>
      <c r="I30" s="9" t="s">
        <v>24</v>
      </c>
      <c r="J30" s="9" t="s">
        <v>24</v>
      </c>
      <c r="K30" s="9" t="s">
        <v>24</v>
      </c>
      <c r="L30" s="9" t="s">
        <v>24</v>
      </c>
      <c r="M30" s="9" t="s">
        <v>24</v>
      </c>
      <c r="N30" s="9" t="s">
        <v>24</v>
      </c>
      <c r="O30" s="9" t="s">
        <v>24</v>
      </c>
      <c r="P30" s="9" t="s">
        <v>24</v>
      </c>
      <c r="Q30" s="9"/>
      <c r="R30" s="32"/>
      <c r="S30" s="9" t="s">
        <v>24</v>
      </c>
      <c r="T30" s="9" t="s">
        <v>24</v>
      </c>
      <c r="U30" s="9" t="s">
        <v>24</v>
      </c>
      <c r="V30" s="9" t="s">
        <v>24</v>
      </c>
      <c r="W30" s="9" t="s">
        <v>24</v>
      </c>
      <c r="X30" s="9" t="s">
        <v>24</v>
      </c>
      <c r="Y30" s="9" t="s">
        <v>24</v>
      </c>
      <c r="Z30" s="9" t="s">
        <v>24</v>
      </c>
      <c r="AA30" s="9" t="s">
        <v>24</v>
      </c>
      <c r="AB30" s="9" t="s">
        <v>24</v>
      </c>
      <c r="AC30" s="9" t="s">
        <v>24</v>
      </c>
      <c r="AD30" s="9" t="s">
        <v>24</v>
      </c>
      <c r="AE30" s="9" t="s">
        <v>24</v>
      </c>
      <c r="AF30" s="9" t="s">
        <v>24</v>
      </c>
      <c r="AG30" s="9"/>
      <c r="AH30" s="32"/>
      <c r="AI30" s="9">
        <v>826.13400000000001</v>
      </c>
      <c r="AJ30" s="9">
        <v>934.53599999999994</v>
      </c>
      <c r="AK30" s="9">
        <v>985.93499999999995</v>
      </c>
      <c r="AL30" s="9">
        <v>1057</v>
      </c>
      <c r="AM30" s="9">
        <v>1114.9949999999999</v>
      </c>
      <c r="AN30" s="9">
        <v>1154.7239999999999</v>
      </c>
      <c r="AO30" s="9">
        <v>1214.518</v>
      </c>
      <c r="AP30" s="9">
        <v>1294.51</v>
      </c>
      <c r="AQ30" s="9">
        <v>1334.223</v>
      </c>
      <c r="AR30" s="9">
        <v>1301.9690000000001</v>
      </c>
      <c r="AS30" s="9">
        <v>1385.0229999999999</v>
      </c>
      <c r="AT30" s="9">
        <v>1843.3219999999999</v>
      </c>
      <c r="AU30" s="9">
        <v>1925.377</v>
      </c>
      <c r="AV30" s="9">
        <v>1814.039</v>
      </c>
      <c r="AW30" s="9"/>
      <c r="AX30" s="9"/>
      <c r="AY30" s="9">
        <v>2990.3307669999999</v>
      </c>
      <c r="AZ30" s="9">
        <v>3125.7215980000001</v>
      </c>
      <c r="BA30" s="9">
        <v>3292.380768</v>
      </c>
      <c r="BB30" s="9">
        <v>3654.6737149999999</v>
      </c>
      <c r="BC30" s="9">
        <v>3691.2995249999999</v>
      </c>
      <c r="BD30" s="9">
        <v>3915.50947</v>
      </c>
      <c r="BE30" s="9">
        <v>4076.5283030000001</v>
      </c>
      <c r="BF30" s="9">
        <v>4350.1602309999998</v>
      </c>
      <c r="BG30" s="9">
        <v>4496.5807050000003</v>
      </c>
      <c r="BH30" s="9">
        <v>4397.3932290000002</v>
      </c>
      <c r="BI30" s="9">
        <v>4696.2785130000002</v>
      </c>
      <c r="BJ30" s="9">
        <v>5739.8430109999999</v>
      </c>
      <c r="BK30" s="9">
        <v>5895.1707379999998</v>
      </c>
      <c r="BL30" s="9">
        <v>6036.3379869999999</v>
      </c>
      <c r="BM30" s="9"/>
      <c r="BN30" s="32"/>
      <c r="BO30" s="41">
        <v>40664</v>
      </c>
      <c r="BP30" s="41">
        <v>41395</v>
      </c>
      <c r="BQ30" s="41">
        <v>41395</v>
      </c>
      <c r="BR30" s="41">
        <v>42125</v>
      </c>
      <c r="BS30" s="41">
        <v>42125</v>
      </c>
      <c r="BT30" s="41">
        <v>42856</v>
      </c>
      <c r="BU30" s="41">
        <v>42856</v>
      </c>
      <c r="BV30" s="41">
        <v>43586</v>
      </c>
      <c r="BW30" s="41">
        <v>43586</v>
      </c>
      <c r="BX30" s="41">
        <v>44317</v>
      </c>
      <c r="BY30" s="41">
        <v>44317</v>
      </c>
      <c r="BZ30" s="41">
        <v>45047</v>
      </c>
      <c r="CA30" s="41">
        <v>45047</v>
      </c>
      <c r="CB30" s="41">
        <v>45778</v>
      </c>
      <c r="CC30" s="41"/>
      <c r="CD30" s="37" t="s">
        <v>129</v>
      </c>
    </row>
    <row r="31" spans="1:82" x14ac:dyDescent="0.25">
      <c r="A31" s="12" t="s">
        <v>78</v>
      </c>
      <c r="B31" s="8" t="s">
        <v>79</v>
      </c>
      <c r="C31" s="9">
        <v>97.7</v>
      </c>
      <c r="D31" s="9">
        <v>93</v>
      </c>
      <c r="E31" s="9">
        <v>97</v>
      </c>
      <c r="F31" s="9">
        <v>84.2</v>
      </c>
      <c r="G31" s="9">
        <v>85.5</v>
      </c>
      <c r="H31" s="9">
        <v>96</v>
      </c>
      <c r="I31" s="9">
        <v>98.9</v>
      </c>
      <c r="J31" s="9">
        <v>105</v>
      </c>
      <c r="K31" s="9">
        <v>106.5</v>
      </c>
      <c r="L31" s="9">
        <v>138.1</v>
      </c>
      <c r="M31" s="9">
        <v>134.6</v>
      </c>
      <c r="N31" s="9">
        <v>112.8</v>
      </c>
      <c r="O31" s="9">
        <v>89.4</v>
      </c>
      <c r="P31" s="9">
        <v>8.6999999999999993</v>
      </c>
      <c r="Q31" s="9"/>
      <c r="R31" s="32"/>
      <c r="S31" s="9">
        <v>578.1</v>
      </c>
      <c r="T31" s="9">
        <v>509.2</v>
      </c>
      <c r="U31" s="9">
        <v>520.20000000000005</v>
      </c>
      <c r="V31" s="9">
        <v>561.5</v>
      </c>
      <c r="W31" s="9">
        <v>574.20000000000005</v>
      </c>
      <c r="X31" s="9">
        <v>673.2</v>
      </c>
      <c r="Y31" s="9">
        <v>685.2</v>
      </c>
      <c r="Z31" s="9">
        <v>795.5</v>
      </c>
      <c r="AA31" s="9">
        <v>779.2</v>
      </c>
      <c r="AB31" s="9">
        <v>821.1</v>
      </c>
      <c r="AC31" s="9">
        <v>861.3</v>
      </c>
      <c r="AD31" s="9">
        <v>1232</v>
      </c>
      <c r="AE31" s="9">
        <v>1228.2</v>
      </c>
      <c r="AF31" s="9">
        <v>1209.2</v>
      </c>
      <c r="AG31" s="9"/>
      <c r="AH31" s="32"/>
      <c r="AI31" s="9" t="s">
        <v>24</v>
      </c>
      <c r="AJ31" s="9" t="s">
        <v>24</v>
      </c>
      <c r="AK31" s="9" t="s">
        <v>24</v>
      </c>
      <c r="AL31" s="9" t="s">
        <v>24</v>
      </c>
      <c r="AM31" s="9" t="s">
        <v>24</v>
      </c>
      <c r="AN31" s="9" t="s">
        <v>24</v>
      </c>
      <c r="AO31" s="9" t="s">
        <v>24</v>
      </c>
      <c r="AP31" s="9" t="s">
        <v>24</v>
      </c>
      <c r="AQ31" s="9" t="s">
        <v>24</v>
      </c>
      <c r="AR31" s="9" t="s">
        <v>24</v>
      </c>
      <c r="AS31" s="9" t="s">
        <v>24</v>
      </c>
      <c r="AT31" s="9" t="s">
        <v>24</v>
      </c>
      <c r="AU31" s="9" t="s">
        <v>24</v>
      </c>
      <c r="AV31" s="9" t="s">
        <v>24</v>
      </c>
      <c r="AW31" s="9"/>
      <c r="AX31" s="9"/>
      <c r="AY31" s="9">
        <v>2401</v>
      </c>
      <c r="AZ31" s="9">
        <v>2161.5</v>
      </c>
      <c r="BA31" s="9">
        <v>2202</v>
      </c>
      <c r="BB31" s="9">
        <v>2280.4</v>
      </c>
      <c r="BC31" s="9">
        <v>2324.1999999999998</v>
      </c>
      <c r="BD31" s="9">
        <v>2464.1</v>
      </c>
      <c r="BE31" s="9">
        <v>2507</v>
      </c>
      <c r="BF31" s="9">
        <v>2524.4</v>
      </c>
      <c r="BG31" s="9">
        <v>2518</v>
      </c>
      <c r="BH31" s="9">
        <v>2725.4</v>
      </c>
      <c r="BI31" s="9">
        <v>2770.2</v>
      </c>
      <c r="BJ31" s="9">
        <v>3162</v>
      </c>
      <c r="BK31" s="9">
        <v>3138</v>
      </c>
      <c r="BL31" s="9">
        <v>3117.9</v>
      </c>
      <c r="BM31" s="9"/>
      <c r="BN31" s="32"/>
      <c r="BO31" s="41">
        <v>40575</v>
      </c>
      <c r="BP31" s="44">
        <v>41306</v>
      </c>
      <c r="BQ31" s="44">
        <v>41306</v>
      </c>
      <c r="BR31" s="44">
        <v>42036</v>
      </c>
      <c r="BS31" s="44">
        <v>42036</v>
      </c>
      <c r="BT31" s="44">
        <v>42767</v>
      </c>
      <c r="BU31" s="44">
        <v>42767</v>
      </c>
      <c r="BV31" s="44">
        <v>43497</v>
      </c>
      <c r="BW31" s="44">
        <v>43497</v>
      </c>
      <c r="BX31" s="44">
        <v>44228</v>
      </c>
      <c r="BY31" s="44">
        <v>44228</v>
      </c>
      <c r="BZ31" s="44">
        <v>44971</v>
      </c>
      <c r="CA31" s="44">
        <v>44971</v>
      </c>
      <c r="CB31" s="44">
        <v>45689</v>
      </c>
      <c r="CC31" s="44"/>
      <c r="CD31" s="37" t="s">
        <v>129</v>
      </c>
    </row>
    <row r="32" spans="1:82" x14ac:dyDescent="0.25">
      <c r="A32" s="34" t="s">
        <v>80</v>
      </c>
      <c r="B32" s="8" t="s">
        <v>81</v>
      </c>
      <c r="C32" s="9">
        <v>11584.4</v>
      </c>
      <c r="D32" s="9">
        <v>13039</v>
      </c>
      <c r="E32" s="9">
        <v>12627</v>
      </c>
      <c r="F32" s="9">
        <v>13880</v>
      </c>
      <c r="G32" s="9">
        <v>13982.3</v>
      </c>
      <c r="H32" s="9">
        <v>14382.2</v>
      </c>
      <c r="I32" s="9">
        <v>16421.7</v>
      </c>
      <c r="J32" s="9">
        <v>17058.8</v>
      </c>
      <c r="K32" s="9">
        <v>14525.6</v>
      </c>
      <c r="L32" s="9">
        <v>17221.740000000002</v>
      </c>
      <c r="M32" s="9">
        <v>20085</v>
      </c>
      <c r="N32" s="9">
        <v>19653.7</v>
      </c>
      <c r="O32" s="9">
        <v>19400.400000000001</v>
      </c>
      <c r="P32" s="9">
        <v>21313</v>
      </c>
      <c r="Q32" s="9"/>
      <c r="R32" s="32"/>
      <c r="S32" s="9">
        <v>2566</v>
      </c>
      <c r="T32" s="9">
        <v>2413</v>
      </c>
      <c r="U32" s="9">
        <v>2590</v>
      </c>
      <c r="V32" s="9">
        <v>2575</v>
      </c>
      <c r="W32" s="9">
        <v>2471</v>
      </c>
      <c r="X32" s="9">
        <v>2375.4</v>
      </c>
      <c r="Y32" s="9">
        <v>2266.1</v>
      </c>
      <c r="Z32" s="9">
        <v>3142</v>
      </c>
      <c r="AA32" s="9">
        <v>2861.6</v>
      </c>
      <c r="AB32" s="9">
        <v>3675.96</v>
      </c>
      <c r="AC32" s="9">
        <v>5225</v>
      </c>
      <c r="AD32" s="9">
        <v>5273.9</v>
      </c>
      <c r="AE32" s="9">
        <v>4489.1000000000004</v>
      </c>
      <c r="AF32" s="9">
        <v>4063.1</v>
      </c>
      <c r="AG32" s="9"/>
      <c r="AH32" s="32"/>
      <c r="AI32" s="9">
        <v>8422.7999999999993</v>
      </c>
      <c r="AJ32" s="9">
        <v>8676</v>
      </c>
      <c r="AK32" s="9">
        <v>9138</v>
      </c>
      <c r="AL32" s="9">
        <v>9090</v>
      </c>
      <c r="AM32" s="9">
        <v>9597.4</v>
      </c>
      <c r="AN32" s="9">
        <v>9509.9</v>
      </c>
      <c r="AO32" s="9">
        <v>10336.4</v>
      </c>
      <c r="AP32" s="9">
        <v>10252.5</v>
      </c>
      <c r="AQ32" s="9">
        <v>9794.1</v>
      </c>
      <c r="AR32" s="9">
        <v>11350.4</v>
      </c>
      <c r="AS32" s="9">
        <v>12580.6</v>
      </c>
      <c r="AT32" s="9">
        <v>13376.5</v>
      </c>
      <c r="AU32" s="9">
        <v>13717.6</v>
      </c>
      <c r="AV32" s="9">
        <v>14464.3</v>
      </c>
      <c r="AW32" s="9"/>
      <c r="AX32" s="9"/>
      <c r="AY32" s="9">
        <v>31696</v>
      </c>
      <c r="AZ32" s="9">
        <v>32813</v>
      </c>
      <c r="BA32" s="9">
        <v>32737.8</v>
      </c>
      <c r="BB32" s="9">
        <v>33812.660000000003</v>
      </c>
      <c r="BC32" s="9">
        <v>34592.1</v>
      </c>
      <c r="BD32" s="9">
        <v>35786</v>
      </c>
      <c r="BE32" s="9">
        <v>37472.800000000003</v>
      </c>
      <c r="BF32" s="9">
        <v>39072.6</v>
      </c>
      <c r="BG32" s="9">
        <v>35528.300000000003</v>
      </c>
      <c r="BH32" s="9">
        <v>41967.81</v>
      </c>
      <c r="BI32" s="9">
        <v>50554.9</v>
      </c>
      <c r="BJ32" s="9">
        <v>52802.3</v>
      </c>
      <c r="BK32" s="9">
        <v>54248.800000000003</v>
      </c>
      <c r="BL32" s="9">
        <v>57130.9</v>
      </c>
      <c r="BM32" s="9"/>
      <c r="BN32" s="32"/>
      <c r="BO32" s="33">
        <v>41030</v>
      </c>
      <c r="BP32" s="33">
        <v>41395</v>
      </c>
      <c r="BQ32" s="33">
        <v>41760</v>
      </c>
      <c r="BR32" s="33">
        <v>42125</v>
      </c>
      <c r="BS32" s="33">
        <v>42491</v>
      </c>
      <c r="BT32" s="33">
        <v>42856</v>
      </c>
      <c r="BU32" s="33">
        <v>43221</v>
      </c>
      <c r="BV32" s="33">
        <v>43586</v>
      </c>
      <c r="BW32" s="33">
        <v>44044</v>
      </c>
      <c r="BX32" s="33">
        <v>44348</v>
      </c>
      <c r="BY32" s="33">
        <v>44682</v>
      </c>
      <c r="BZ32" s="33">
        <v>45069</v>
      </c>
      <c r="CA32" s="33">
        <v>45413</v>
      </c>
      <c r="CB32" s="33">
        <v>45778</v>
      </c>
      <c r="CC32" s="33"/>
      <c r="CD32" s="28" t="s">
        <v>128</v>
      </c>
    </row>
    <row r="33" spans="1:82" x14ac:dyDescent="0.25">
      <c r="A33" s="17" t="s">
        <v>82</v>
      </c>
      <c r="B33" s="8" t="s">
        <v>83</v>
      </c>
      <c r="C33" s="9">
        <v>1115</v>
      </c>
      <c r="D33" s="9">
        <v>1217.3</v>
      </c>
      <c r="E33" s="9">
        <v>1280</v>
      </c>
      <c r="F33" s="9">
        <v>1360</v>
      </c>
      <c r="G33" s="9">
        <v>1455</v>
      </c>
      <c r="H33" s="9">
        <v>1346</v>
      </c>
      <c r="I33" s="9">
        <v>1408.8</v>
      </c>
      <c r="J33" s="9">
        <v>1605</v>
      </c>
      <c r="K33" s="9">
        <v>1660.6</v>
      </c>
      <c r="L33" s="9">
        <v>1667.2</v>
      </c>
      <c r="M33" s="9">
        <v>2038.5</v>
      </c>
      <c r="N33" s="9">
        <v>2321.6999999999998</v>
      </c>
      <c r="O33" s="9">
        <v>2537.1</v>
      </c>
      <c r="P33" s="9">
        <v>2114.6</v>
      </c>
      <c r="Q33" s="9"/>
      <c r="R33" s="32"/>
      <c r="S33" s="9">
        <v>375</v>
      </c>
      <c r="T33" s="9">
        <v>342</v>
      </c>
      <c r="U33" s="9">
        <v>289</v>
      </c>
      <c r="V33" s="9">
        <v>225</v>
      </c>
      <c r="W33" s="9">
        <v>220</v>
      </c>
      <c r="X33" s="9">
        <v>100</v>
      </c>
      <c r="Y33" s="9">
        <v>110</v>
      </c>
      <c r="Z33" s="9">
        <v>115.5</v>
      </c>
      <c r="AA33" s="9">
        <v>17.100000000000001</v>
      </c>
      <c r="AB33" s="9">
        <v>42.3</v>
      </c>
      <c r="AC33" s="9">
        <v>68.099999999999994</v>
      </c>
      <c r="AD33" s="9">
        <v>264.5</v>
      </c>
      <c r="AE33" s="9">
        <v>323.7</v>
      </c>
      <c r="AF33" s="9">
        <v>730.7</v>
      </c>
      <c r="AG33" s="9"/>
      <c r="AH33" s="32"/>
      <c r="AI33" s="9">
        <v>2009</v>
      </c>
      <c r="AJ33" s="9">
        <v>2105.5</v>
      </c>
      <c r="AK33" s="9">
        <v>2145.1</v>
      </c>
      <c r="AL33" s="9">
        <v>2305</v>
      </c>
      <c r="AM33" s="9">
        <v>2280.1</v>
      </c>
      <c r="AN33" s="9">
        <v>2061.4</v>
      </c>
      <c r="AO33" s="9">
        <v>2217.1</v>
      </c>
      <c r="AP33" s="9">
        <v>2715.7</v>
      </c>
      <c r="AQ33" s="9">
        <v>3055.9</v>
      </c>
      <c r="AR33" s="9">
        <v>2616.6</v>
      </c>
      <c r="AS33" s="10">
        <v>3047</v>
      </c>
      <c r="AT33" s="9">
        <v>3771.4</v>
      </c>
      <c r="AU33" s="9">
        <v>4157.6000000000004</v>
      </c>
      <c r="AV33" s="9">
        <v>4505.8999999999996</v>
      </c>
      <c r="AW33" s="9"/>
      <c r="AX33" s="9"/>
      <c r="AY33" s="9">
        <v>5684.9</v>
      </c>
      <c r="AZ33" s="9">
        <v>5931.8</v>
      </c>
      <c r="BA33" s="9">
        <v>6186</v>
      </c>
      <c r="BB33" s="9">
        <v>6234.1</v>
      </c>
      <c r="BC33" s="9">
        <v>6264.6</v>
      </c>
      <c r="BD33" s="9">
        <v>5929.1</v>
      </c>
      <c r="BE33" s="9">
        <v>6374.6</v>
      </c>
      <c r="BF33" s="9">
        <v>7433.1</v>
      </c>
      <c r="BG33" s="9">
        <v>7882.5</v>
      </c>
      <c r="BH33" s="9">
        <v>7548.1</v>
      </c>
      <c r="BI33" s="9">
        <v>9049.1</v>
      </c>
      <c r="BJ33" s="9">
        <v>11994.9</v>
      </c>
      <c r="BK33" s="9">
        <v>13047.8</v>
      </c>
      <c r="BL33" s="9">
        <v>13614.4</v>
      </c>
      <c r="BM33" s="9"/>
      <c r="BN33" s="32"/>
      <c r="BO33" s="33">
        <v>40878</v>
      </c>
      <c r="BP33" s="33">
        <v>41244</v>
      </c>
      <c r="BQ33" s="33">
        <v>41609</v>
      </c>
      <c r="BR33" s="33">
        <v>42036</v>
      </c>
      <c r="BS33" s="33">
        <v>42370</v>
      </c>
      <c r="BT33" s="33">
        <v>42705</v>
      </c>
      <c r="BU33" s="33">
        <v>43101</v>
      </c>
      <c r="BV33" s="33">
        <v>43435</v>
      </c>
      <c r="BW33" s="33">
        <v>43800</v>
      </c>
      <c r="BX33" s="33">
        <v>44228</v>
      </c>
      <c r="BY33" s="33">
        <v>44531</v>
      </c>
      <c r="BZ33" s="33">
        <v>44907</v>
      </c>
      <c r="CA33" s="33">
        <v>45261</v>
      </c>
      <c r="CB33" s="33">
        <v>45627</v>
      </c>
      <c r="CC33" s="33"/>
      <c r="CD33" s="28" t="s">
        <v>128</v>
      </c>
    </row>
    <row r="34" spans="1:82" x14ac:dyDescent="0.25">
      <c r="A34" s="14" t="s">
        <v>84</v>
      </c>
      <c r="B34" s="8" t="s">
        <v>85</v>
      </c>
      <c r="C34" s="9">
        <v>40256</v>
      </c>
      <c r="D34" s="9">
        <v>42543</v>
      </c>
      <c r="E34" s="9">
        <v>43735</v>
      </c>
      <c r="F34" s="9">
        <v>47075</v>
      </c>
      <c r="G34" s="9">
        <v>49464</v>
      </c>
      <c r="H34" s="9">
        <v>49382</v>
      </c>
      <c r="I34" s="9">
        <v>50410</v>
      </c>
      <c r="J34" s="9">
        <v>52150</v>
      </c>
      <c r="K34" s="9">
        <v>49046</v>
      </c>
      <c r="L34" s="9">
        <v>61049</v>
      </c>
      <c r="M34" s="9">
        <v>46975</v>
      </c>
      <c r="N34" s="9">
        <v>52819</v>
      </c>
      <c r="O34" s="9">
        <v>61201</v>
      </c>
      <c r="P34" s="9">
        <v>61531</v>
      </c>
      <c r="Q34" s="9"/>
      <c r="R34" s="32"/>
      <c r="S34" s="9">
        <v>8229</v>
      </c>
      <c r="T34" s="9">
        <v>8638</v>
      </c>
      <c r="U34" s="9">
        <v>7671</v>
      </c>
      <c r="V34" s="9">
        <v>8137</v>
      </c>
      <c r="W34" s="9">
        <v>7994</v>
      </c>
      <c r="X34" s="9">
        <v>7969</v>
      </c>
      <c r="Y34" s="9">
        <v>7981</v>
      </c>
      <c r="Z34" s="9">
        <v>8585</v>
      </c>
      <c r="AA34" s="9">
        <v>8957</v>
      </c>
      <c r="AB34" s="9">
        <v>9601</v>
      </c>
      <c r="AC34" s="9">
        <v>27980</v>
      </c>
      <c r="AD34" s="9">
        <v>25533</v>
      </c>
      <c r="AE34" s="9">
        <v>28792</v>
      </c>
      <c r="AF34" s="9">
        <v>28911</v>
      </c>
      <c r="AG34" s="9"/>
      <c r="AH34" s="32"/>
      <c r="AI34" s="9">
        <v>14921</v>
      </c>
      <c r="AJ34" s="9">
        <v>15116</v>
      </c>
      <c r="AK34" s="9">
        <v>15364</v>
      </c>
      <c r="AL34" s="9">
        <v>15850</v>
      </c>
      <c r="AM34" s="9">
        <v>16134</v>
      </c>
      <c r="AN34" s="9">
        <v>16861</v>
      </c>
      <c r="AO34" s="9">
        <v>17303</v>
      </c>
      <c r="AP34" s="9">
        <v>18308</v>
      </c>
      <c r="AQ34" s="9">
        <v>15474</v>
      </c>
      <c r="AR34" s="9">
        <v>18155</v>
      </c>
      <c r="AS34" s="9">
        <v>19585</v>
      </c>
      <c r="AT34" s="9">
        <v>21715</v>
      </c>
      <c r="AU34" s="9">
        <v>22446</v>
      </c>
      <c r="AV34" s="9">
        <v>22953</v>
      </c>
      <c r="AW34" s="9"/>
      <c r="AX34" s="9"/>
      <c r="AY34" s="9">
        <f>66370+24269</f>
        <v>90639</v>
      </c>
      <c r="AZ34" s="9">
        <f>69351+23621</f>
        <v>92972</v>
      </c>
      <c r="BA34" s="9">
        <f>70188+25672</f>
        <v>95860</v>
      </c>
      <c r="BB34" s="9">
        <f>74562+25410</f>
        <v>99972</v>
      </c>
      <c r="BC34" s="9">
        <f>77128+23567</f>
        <v>100695</v>
      </c>
      <c r="BD34" s="9">
        <f>77926+26509</f>
        <v>104435</v>
      </c>
      <c r="BE34" s="9">
        <f>77923+28005</f>
        <v>105928</v>
      </c>
      <c r="BF34" s="9">
        <f>81305+29013</f>
        <v>110318</v>
      </c>
      <c r="BG34" s="9">
        <f>75543+30669</f>
        <v>106212</v>
      </c>
      <c r="BH34" s="9">
        <f>91093+26052</f>
        <v>117145</v>
      </c>
      <c r="BI34" s="9">
        <f>97368+27107</f>
        <v>124475</v>
      </c>
      <c r="BJ34" s="9">
        <f>102947+26837</f>
        <v>129784</v>
      </c>
      <c r="BK34" s="9">
        <f>110784+31685</f>
        <v>142469</v>
      </c>
      <c r="BL34" s="9">
        <f>249227-94090</f>
        <v>155137</v>
      </c>
      <c r="BM34" s="9"/>
      <c r="BN34" s="32"/>
      <c r="BO34" s="33">
        <v>41000</v>
      </c>
      <c r="BP34" s="33">
        <v>41365</v>
      </c>
      <c r="BQ34" s="33">
        <v>41730</v>
      </c>
      <c r="BR34" s="33">
        <v>42095</v>
      </c>
      <c r="BS34" s="33">
        <v>42461</v>
      </c>
      <c r="BT34" s="33">
        <v>42826</v>
      </c>
      <c r="BU34" s="33">
        <v>43191</v>
      </c>
      <c r="BV34" s="33">
        <v>43556</v>
      </c>
      <c r="BW34" s="33">
        <v>43922</v>
      </c>
      <c r="BX34" s="33">
        <v>44287</v>
      </c>
      <c r="BY34" s="33">
        <v>44652</v>
      </c>
      <c r="BZ34" s="33">
        <v>45017</v>
      </c>
      <c r="CA34" s="33">
        <v>45383</v>
      </c>
      <c r="CB34" s="33">
        <v>45748</v>
      </c>
      <c r="CC34" s="33"/>
      <c r="CD34" s="28" t="s">
        <v>128</v>
      </c>
    </row>
    <row r="35" spans="1:82" x14ac:dyDescent="0.25">
      <c r="A35" s="45" t="s">
        <v>86</v>
      </c>
      <c r="B35" s="8" t="s">
        <v>87</v>
      </c>
      <c r="C35" s="9">
        <v>10517.1</v>
      </c>
      <c r="D35" s="9">
        <v>11211.2</v>
      </c>
      <c r="E35" s="9">
        <v>10885.4</v>
      </c>
      <c r="F35" s="9">
        <v>10859.3</v>
      </c>
      <c r="G35" s="9">
        <v>11718.7</v>
      </c>
      <c r="H35" s="9">
        <v>12314.3</v>
      </c>
      <c r="I35" s="9">
        <v>12799.6</v>
      </c>
      <c r="J35" s="9">
        <v>12891.5</v>
      </c>
      <c r="K35" s="13">
        <v>14821.6</v>
      </c>
      <c r="L35" s="9">
        <v>14090.8</v>
      </c>
      <c r="M35" s="9">
        <v>15472.5</v>
      </c>
      <c r="N35" s="9">
        <v>16679.099999999999</v>
      </c>
      <c r="O35" s="9">
        <v>17048.5</v>
      </c>
      <c r="P35" s="9">
        <v>16857.5</v>
      </c>
      <c r="Q35" s="9"/>
      <c r="R35" s="32"/>
      <c r="S35" s="9">
        <f>1075+615.2</f>
        <v>1690.2</v>
      </c>
      <c r="T35" s="9">
        <f>1099.1+677.9</f>
        <v>1777</v>
      </c>
      <c r="U35" s="9">
        <f>1095.2+543.1</f>
        <v>1638.3000000000002</v>
      </c>
      <c r="V35" s="9">
        <f>1134.5+524.5</f>
        <v>1659</v>
      </c>
      <c r="W35" s="9">
        <f>916.8+554.1</f>
        <v>1470.9</v>
      </c>
      <c r="X35" s="9">
        <f>743.6+583.7</f>
        <v>1327.3000000000002</v>
      </c>
      <c r="Y35" s="9">
        <f>720.9+684.1</f>
        <v>1405</v>
      </c>
      <c r="Z35" s="9">
        <f>687+685.8</f>
        <v>1372.8</v>
      </c>
      <c r="AA35" s="13">
        <f>1037.2+808.2</f>
        <v>1845.4</v>
      </c>
      <c r="AB35" s="9">
        <f>867.5+733.4</f>
        <v>1600.9</v>
      </c>
      <c r="AC35" s="9">
        <v>1846.4</v>
      </c>
      <c r="AD35" s="9">
        <f>1680.7+726.5</f>
        <v>2407.1999999999998</v>
      </c>
      <c r="AE35" s="9">
        <v>2396.6</v>
      </c>
      <c r="AF35" s="9">
        <f>1552+785.8</f>
        <v>2337.8000000000002</v>
      </c>
      <c r="AG35" s="9"/>
      <c r="AH35" s="32"/>
      <c r="AI35" s="9">
        <v>6218.9</v>
      </c>
      <c r="AJ35" s="9">
        <v>5491</v>
      </c>
      <c r="AK35" s="9">
        <v>6285.5</v>
      </c>
      <c r="AL35" s="9">
        <v>6715.8</v>
      </c>
      <c r="AM35" s="9">
        <v>6918.4</v>
      </c>
      <c r="AN35" s="9">
        <v>7393.5</v>
      </c>
      <c r="AO35" s="9">
        <v>7624.9</v>
      </c>
      <c r="AP35" s="9">
        <v>8155.6</v>
      </c>
      <c r="AQ35" s="13">
        <v>8623.7000000000007</v>
      </c>
      <c r="AR35" s="10">
        <v>8890.5</v>
      </c>
      <c r="AS35" s="9">
        <v>10382.799999999999</v>
      </c>
      <c r="AT35" s="9">
        <v>10874.6</v>
      </c>
      <c r="AU35" s="9">
        <v>11273.3</v>
      </c>
      <c r="AV35" s="9">
        <v>11553.5</v>
      </c>
      <c r="AW35" s="9"/>
      <c r="AX35" s="9"/>
      <c r="AY35" s="9">
        <v>20701.5</v>
      </c>
      <c r="AZ35" s="9">
        <v>20732.599999999999</v>
      </c>
      <c r="BA35" s="9">
        <v>21006.799999999999</v>
      </c>
      <c r="BB35" s="9">
        <v>21428.7</v>
      </c>
      <c r="BC35" s="9">
        <v>22174.1</v>
      </c>
      <c r="BD35" s="9">
        <v>23166.7</v>
      </c>
      <c r="BE35" s="9">
        <v>24016.6</v>
      </c>
      <c r="BF35" s="9">
        <v>24830.1</v>
      </c>
      <c r="BG35" s="13">
        <v>27602.6</v>
      </c>
      <c r="BH35" s="9">
        <v>26985.1</v>
      </c>
      <c r="BI35" s="9">
        <v>30709.599999999999</v>
      </c>
      <c r="BJ35" s="9">
        <v>34147.800000000003</v>
      </c>
      <c r="BK35" s="9">
        <v>34764.1</v>
      </c>
      <c r="BL35" s="9">
        <v>34779.699999999997</v>
      </c>
      <c r="BM35" s="9"/>
      <c r="BN35" s="32"/>
      <c r="BO35" s="33">
        <v>41030</v>
      </c>
      <c r="BP35" s="33">
        <v>41334</v>
      </c>
      <c r="BQ35" s="33">
        <v>41760</v>
      </c>
      <c r="BR35" s="33">
        <v>42064</v>
      </c>
      <c r="BS35" s="33">
        <v>42461</v>
      </c>
      <c r="BT35" s="33">
        <v>42795</v>
      </c>
      <c r="BU35" s="33">
        <v>43221</v>
      </c>
      <c r="BV35" s="33">
        <v>43525</v>
      </c>
      <c r="BW35" s="41">
        <v>44256</v>
      </c>
      <c r="BX35" s="33">
        <v>44256</v>
      </c>
      <c r="BY35" s="33">
        <v>44682</v>
      </c>
      <c r="BZ35" s="33">
        <v>45000</v>
      </c>
      <c r="CA35" s="33">
        <v>45383</v>
      </c>
      <c r="CB35" s="33">
        <v>45717</v>
      </c>
      <c r="CC35" s="33"/>
      <c r="CD35" s="37" t="s">
        <v>129</v>
      </c>
    </row>
    <row r="36" spans="1:82" x14ac:dyDescent="0.25">
      <c r="A36" s="46" t="s">
        <v>88</v>
      </c>
      <c r="B36" s="8" t="s">
        <v>89</v>
      </c>
      <c r="C36" s="9">
        <v>265.79700000000003</v>
      </c>
      <c r="D36" s="9">
        <v>278.86866700000002</v>
      </c>
      <c r="E36" s="9">
        <v>382.875</v>
      </c>
      <c r="F36" s="9">
        <v>414.77935500000001</v>
      </c>
      <c r="G36" s="9">
        <v>370.70800000000003</v>
      </c>
      <c r="H36" s="9">
        <v>392.56799999999998</v>
      </c>
      <c r="I36" s="9">
        <v>340.67200000000003</v>
      </c>
      <c r="J36" s="9">
        <v>358.05599999999998</v>
      </c>
      <c r="K36" s="9">
        <v>396.53146199999998</v>
      </c>
      <c r="L36" s="9">
        <v>385.491085</v>
      </c>
      <c r="M36" s="9">
        <v>297.20891499999999</v>
      </c>
      <c r="N36" s="9">
        <v>387.97875199999999</v>
      </c>
      <c r="O36" s="9">
        <v>483.32404400000001</v>
      </c>
      <c r="P36" s="9">
        <v>439.43867899999998</v>
      </c>
      <c r="Q36" s="9"/>
      <c r="R36" s="32"/>
      <c r="S36" s="9">
        <v>61.734000000000002</v>
      </c>
      <c r="T36" s="9">
        <v>64.509666999999993</v>
      </c>
      <c r="U36" s="9">
        <v>185.09200000000001</v>
      </c>
      <c r="V36" s="9">
        <v>192.64764500000001</v>
      </c>
      <c r="W36" s="9">
        <v>185.583</v>
      </c>
      <c r="X36" s="9">
        <v>185.839</v>
      </c>
      <c r="Y36" s="9">
        <v>54.591999999999999</v>
      </c>
      <c r="Z36" s="9">
        <v>47.496414999999999</v>
      </c>
      <c r="AA36" s="9">
        <v>65.429682999999997</v>
      </c>
      <c r="AB36" s="9">
        <v>99.520663999999996</v>
      </c>
      <c r="AC36" s="9">
        <v>107.479336</v>
      </c>
      <c r="AD36" s="9">
        <v>194.508366</v>
      </c>
      <c r="AE36" s="9">
        <v>190.89163400000001</v>
      </c>
      <c r="AF36" s="9">
        <v>256.37956100000002</v>
      </c>
      <c r="AG36" s="9"/>
      <c r="AH36" s="32"/>
      <c r="AI36" s="9">
        <v>666.73500000000001</v>
      </c>
      <c r="AJ36" s="9">
        <v>715.49965999999995</v>
      </c>
      <c r="AK36" s="9">
        <v>1149.0830000000001</v>
      </c>
      <c r="AL36" s="9">
        <v>1323.8644999999999</v>
      </c>
      <c r="AM36" s="9">
        <v>1377.9259999999999</v>
      </c>
      <c r="AN36" s="9">
        <v>1490.1005600000001</v>
      </c>
      <c r="AO36" s="9">
        <v>818.947</v>
      </c>
      <c r="AP36" s="9">
        <v>882.80028500000003</v>
      </c>
      <c r="AQ36" s="9">
        <v>928.02728999999999</v>
      </c>
      <c r="AR36" s="9">
        <v>845.15392499999996</v>
      </c>
      <c r="AS36" s="9">
        <v>920.18007499999999</v>
      </c>
      <c r="AT36" s="9">
        <v>1080.646982</v>
      </c>
      <c r="AU36" s="9">
        <v>1126.547268</v>
      </c>
      <c r="AV36" s="9">
        <v>1259.4395930000001</v>
      </c>
      <c r="AW36" s="9"/>
      <c r="AX36" s="9"/>
      <c r="AY36" s="9">
        <v>1736.5363950000001</v>
      </c>
      <c r="AZ36" s="9">
        <v>1721.20983</v>
      </c>
      <c r="BA36" s="9">
        <v>2682.0370819999998</v>
      </c>
      <c r="BB36" s="9">
        <v>2794.7959639999999</v>
      </c>
      <c r="BC36" s="9">
        <v>3123.1472199999998</v>
      </c>
      <c r="BD36" s="9">
        <v>2515.3609719999999</v>
      </c>
      <c r="BE36" s="9">
        <v>2272.2898249999998</v>
      </c>
      <c r="BF36" s="9">
        <v>2057.5260640000001</v>
      </c>
      <c r="BG36" s="9">
        <v>2496.2547290000002</v>
      </c>
      <c r="BH36" s="9">
        <v>2191.0518069999998</v>
      </c>
      <c r="BI36" s="9">
        <v>2041.6695159999999</v>
      </c>
      <c r="BJ36" s="9">
        <v>2708.1151559999998</v>
      </c>
      <c r="BK36" s="9">
        <v>2261.4501439999999</v>
      </c>
      <c r="BL36" s="9">
        <v>2668.0720900000001</v>
      </c>
      <c r="BM36" s="9"/>
      <c r="BN36" s="32"/>
      <c r="BO36" s="33">
        <v>40634</v>
      </c>
      <c r="BP36" s="33">
        <v>41395</v>
      </c>
      <c r="BQ36" s="33">
        <v>41395</v>
      </c>
      <c r="BR36" s="33">
        <v>42125</v>
      </c>
      <c r="BS36" s="33">
        <v>42125</v>
      </c>
      <c r="BT36" s="33">
        <v>42856</v>
      </c>
      <c r="BU36" s="33">
        <v>42856</v>
      </c>
      <c r="BV36" s="33">
        <v>43586</v>
      </c>
      <c r="BW36" s="33">
        <v>43586</v>
      </c>
      <c r="BX36" s="33">
        <v>44317</v>
      </c>
      <c r="BY36" s="33">
        <v>44501</v>
      </c>
      <c r="BZ36" s="33">
        <v>45047</v>
      </c>
      <c r="CA36" s="33">
        <v>45047</v>
      </c>
      <c r="CB36" s="33">
        <v>45778</v>
      </c>
      <c r="CC36" s="33"/>
      <c r="CD36" s="37" t="s">
        <v>129</v>
      </c>
    </row>
    <row r="37" spans="1:82" x14ac:dyDescent="0.25">
      <c r="A37" s="20" t="s">
        <v>90</v>
      </c>
      <c r="B37" s="8" t="s">
        <v>91</v>
      </c>
      <c r="C37" s="9">
        <v>8891.2000000000007</v>
      </c>
      <c r="D37" s="9">
        <v>9444.1</v>
      </c>
      <c r="E37" s="9">
        <v>10098.6</v>
      </c>
      <c r="F37" s="9">
        <v>9171.6</v>
      </c>
      <c r="G37" s="9">
        <v>9624.7999999999993</v>
      </c>
      <c r="H37" s="9">
        <v>7972.9</v>
      </c>
      <c r="I37" s="9">
        <v>8377.5</v>
      </c>
      <c r="J37" s="9">
        <v>9179</v>
      </c>
      <c r="K37" s="9">
        <v>9472</v>
      </c>
      <c r="L37" s="9">
        <v>9857.4</v>
      </c>
      <c r="M37" s="9">
        <v>10349.799999999999</v>
      </c>
      <c r="N37" s="9">
        <v>11115</v>
      </c>
      <c r="O37" s="9">
        <v>11506</v>
      </c>
      <c r="P37" s="9">
        <v>10621</v>
      </c>
      <c r="Q37" s="9"/>
      <c r="R37" s="32"/>
      <c r="S37" s="9">
        <v>230</v>
      </c>
      <c r="T37" s="9">
        <v>205</v>
      </c>
      <c r="U37" s="9">
        <v>210</v>
      </c>
      <c r="V37" s="9">
        <v>190</v>
      </c>
      <c r="W37" s="9">
        <v>190</v>
      </c>
      <c r="X37" s="9">
        <v>189</v>
      </c>
      <c r="Y37" s="9">
        <v>191</v>
      </c>
      <c r="Z37" s="9">
        <v>200</v>
      </c>
      <c r="AA37" s="9">
        <v>200</v>
      </c>
      <c r="AB37" s="9">
        <v>215</v>
      </c>
      <c r="AC37" s="9">
        <v>215</v>
      </c>
      <c r="AD37" s="9">
        <v>236</v>
      </c>
      <c r="AE37" s="9">
        <v>241</v>
      </c>
      <c r="AF37" s="9">
        <v>212</v>
      </c>
      <c r="AG37" s="9"/>
      <c r="AH37" s="32"/>
      <c r="AI37" s="9">
        <v>8437.4</v>
      </c>
      <c r="AJ37" s="9">
        <v>8856.2999999999993</v>
      </c>
      <c r="AK37" s="9">
        <v>9438.2999999999993</v>
      </c>
      <c r="AL37" s="9">
        <v>10377.9</v>
      </c>
      <c r="AM37" s="9">
        <v>10869.9</v>
      </c>
      <c r="AN37" s="9">
        <v>10040.599999999999</v>
      </c>
      <c r="AO37" s="9">
        <v>10227.6</v>
      </c>
      <c r="AP37" s="9">
        <v>10872</v>
      </c>
      <c r="AQ37" s="9">
        <v>10966</v>
      </c>
      <c r="AR37" s="9">
        <v>12410.800000000001</v>
      </c>
      <c r="AS37" s="9">
        <v>12607</v>
      </c>
      <c r="AT37" s="9">
        <v>13799</v>
      </c>
      <c r="AU37" s="9">
        <v>14210</v>
      </c>
      <c r="AV37" s="9">
        <v>14450</v>
      </c>
      <c r="AW37" s="9"/>
      <c r="AX37" s="9"/>
      <c r="AY37" s="9">
        <v>20339.099999999999</v>
      </c>
      <c r="AZ37" s="9">
        <v>21155.4</v>
      </c>
      <c r="BA37" s="9">
        <v>22414.7</v>
      </c>
      <c r="BB37" s="9">
        <v>22506.7</v>
      </c>
      <c r="BC37" s="9">
        <v>23485.3</v>
      </c>
      <c r="BD37" s="9">
        <v>21851.200000000001</v>
      </c>
      <c r="BE37" s="9">
        <v>22486.7</v>
      </c>
      <c r="BF37" s="9">
        <v>23988.9</v>
      </c>
      <c r="BG37" s="9">
        <v>24391.8</v>
      </c>
      <c r="BH37" s="9">
        <v>26467.1</v>
      </c>
      <c r="BI37" s="9">
        <v>27244</v>
      </c>
      <c r="BJ37" s="9">
        <v>29454.2</v>
      </c>
      <c r="BK37" s="9">
        <v>30291.200000000001</v>
      </c>
      <c r="BL37" s="9">
        <v>29600</v>
      </c>
      <c r="BM37" s="9"/>
      <c r="BN37" s="32"/>
      <c r="BO37" s="44">
        <v>40695</v>
      </c>
      <c r="BP37" s="44">
        <v>41426</v>
      </c>
      <c r="BQ37" s="44">
        <v>41426</v>
      </c>
      <c r="BR37" s="44">
        <v>42156</v>
      </c>
      <c r="BS37" s="44">
        <v>42156</v>
      </c>
      <c r="BT37" s="44">
        <v>42887</v>
      </c>
      <c r="BU37" s="44">
        <v>42887</v>
      </c>
      <c r="BV37" s="44">
        <v>43525</v>
      </c>
      <c r="BW37" s="44">
        <v>43525</v>
      </c>
      <c r="BX37" s="44">
        <v>44348</v>
      </c>
      <c r="BY37" s="44">
        <v>44348</v>
      </c>
      <c r="BZ37" s="44">
        <v>45078</v>
      </c>
      <c r="CA37" s="44">
        <v>45078</v>
      </c>
      <c r="CB37" s="44">
        <v>45809</v>
      </c>
      <c r="CC37" s="44"/>
      <c r="CD37" s="37" t="s">
        <v>129</v>
      </c>
    </row>
    <row r="38" spans="1:82" x14ac:dyDescent="0.25">
      <c r="A38" s="14" t="s">
        <v>92</v>
      </c>
      <c r="B38" s="8" t="s">
        <v>93</v>
      </c>
      <c r="C38" s="9">
        <v>1999.625886</v>
      </c>
      <c r="D38" s="9">
        <v>2103.4345509999998</v>
      </c>
      <c r="E38" s="9">
        <v>2129.1023049999999</v>
      </c>
      <c r="F38" s="9">
        <v>2076.2802529999999</v>
      </c>
      <c r="G38" s="9">
        <v>1886.880476</v>
      </c>
      <c r="H38" s="9">
        <v>1901.7500319999999</v>
      </c>
      <c r="I38" s="9">
        <v>2257.8654470000001</v>
      </c>
      <c r="J38" s="9">
        <v>2729.0898950000001</v>
      </c>
      <c r="K38" s="9">
        <v>2693.207899</v>
      </c>
      <c r="L38" s="9">
        <v>2646.8637210000002</v>
      </c>
      <c r="M38" s="9">
        <v>2820.6650709999999</v>
      </c>
      <c r="N38" s="9">
        <v>3312.581878</v>
      </c>
      <c r="O38" s="9">
        <v>3291.0437350000002</v>
      </c>
      <c r="P38" s="9">
        <v>3455.1846810000002</v>
      </c>
      <c r="Q38" s="9"/>
      <c r="R38" s="32"/>
      <c r="S38" s="9">
        <v>320.88487500000002</v>
      </c>
      <c r="T38" s="9">
        <v>481.87020000000001</v>
      </c>
      <c r="U38" s="9">
        <v>375.11860000000001</v>
      </c>
      <c r="V38" s="9">
        <v>249.803425</v>
      </c>
      <c r="W38" s="9">
        <v>296.33053000000001</v>
      </c>
      <c r="X38" s="9">
        <v>102.043475</v>
      </c>
      <c r="Y38" s="9">
        <v>136.71232499999999</v>
      </c>
      <c r="Z38" s="9">
        <v>195.9727</v>
      </c>
      <c r="AA38" s="9">
        <v>245.58045000000001</v>
      </c>
      <c r="AB38" s="9">
        <v>208.92605</v>
      </c>
      <c r="AC38" s="9">
        <v>278.89644800000002</v>
      </c>
      <c r="AD38" s="9">
        <v>356.78319499999998</v>
      </c>
      <c r="AE38" s="9">
        <v>443.83378199999999</v>
      </c>
      <c r="AF38" s="9">
        <v>466.348208</v>
      </c>
      <c r="AG38" s="9"/>
      <c r="AH38" s="32"/>
      <c r="AI38" s="9">
        <f>1924.254051+187.025537</f>
        <v>2111.2795879999999</v>
      </c>
      <c r="AJ38" s="9">
        <f>(2030.782388+204.49083)</f>
        <v>2235.2732180000003</v>
      </c>
      <c r="AK38" s="9">
        <f>2033.692016+212.693807</f>
        <v>2246.3858230000001</v>
      </c>
      <c r="AL38" s="9">
        <f>2134.072436+191.112394</f>
        <v>2325.1848300000001</v>
      </c>
      <c r="AM38" s="9">
        <f>1935.85243+164.542808</f>
        <v>2100.3952380000001</v>
      </c>
      <c r="AN38" s="9">
        <f>2047.331315+217.950368</f>
        <v>2265.2816829999997</v>
      </c>
      <c r="AO38" s="9">
        <f>2167.308584+261.599804</f>
        <v>2428.9083879999998</v>
      </c>
      <c r="AP38" s="9">
        <f>2215.559022+350.807912</f>
        <v>2566.3669339999997</v>
      </c>
      <c r="AQ38" s="9">
        <f>2164.036661+339.056944</f>
        <v>2503.093605</v>
      </c>
      <c r="AR38" s="9">
        <f>2164.060907+385.053314</f>
        <v>2549.1142209999998</v>
      </c>
      <c r="AS38" s="9">
        <f>2489.375293+490.671022</f>
        <v>2980.046315</v>
      </c>
      <c r="AT38" s="9">
        <f>2636.497114+517.425523</f>
        <v>3153.9226369999997</v>
      </c>
      <c r="AU38" s="9">
        <f>2478.086+566.572912</f>
        <v>3044.6589119999999</v>
      </c>
      <c r="AV38" s="9">
        <f>2151.559878+567.720779</f>
        <v>2719.2806570000002</v>
      </c>
      <c r="AW38" s="9"/>
      <c r="AX38" s="9"/>
      <c r="AY38" s="9">
        <v>5600.3436819999997</v>
      </c>
      <c r="AZ38" s="9">
        <v>5888.3407159999997</v>
      </c>
      <c r="BA38" s="9">
        <v>5855.636031</v>
      </c>
      <c r="BB38" s="9">
        <v>5745.1303150000003</v>
      </c>
      <c r="BC38" s="9">
        <v>5219.3391519999996</v>
      </c>
      <c r="BD38" s="9">
        <v>5423.9926299999997</v>
      </c>
      <c r="BE38" s="9">
        <v>6504.3347320000003</v>
      </c>
      <c r="BF38" s="9">
        <v>6988.2464950000003</v>
      </c>
      <c r="BG38" s="9">
        <v>6724.7293710000004</v>
      </c>
      <c r="BH38" s="9">
        <v>6641.2983279999999</v>
      </c>
      <c r="BI38" s="9">
        <v>7665.4291549999998</v>
      </c>
      <c r="BJ38" s="9">
        <v>8288.5805509999991</v>
      </c>
      <c r="BK38" s="9">
        <v>8520.7070590000003</v>
      </c>
      <c r="BL38" s="9">
        <v>8275.7535380000008</v>
      </c>
      <c r="BM38" s="9"/>
      <c r="BN38" s="32"/>
      <c r="BO38" s="33">
        <v>41061</v>
      </c>
      <c r="BP38" s="33">
        <v>41426</v>
      </c>
      <c r="BQ38" s="33">
        <v>41791</v>
      </c>
      <c r="BR38" s="33">
        <v>42156</v>
      </c>
      <c r="BS38" s="33">
        <v>42522</v>
      </c>
      <c r="BT38" s="33">
        <v>42887</v>
      </c>
      <c r="BU38" s="33">
        <v>43252</v>
      </c>
      <c r="BV38" s="33">
        <v>43617</v>
      </c>
      <c r="BW38" s="33">
        <v>43983</v>
      </c>
      <c r="BX38" s="33">
        <v>44348</v>
      </c>
      <c r="BY38" s="33">
        <v>44713</v>
      </c>
      <c r="BZ38" s="33">
        <v>45096</v>
      </c>
      <c r="CA38" s="33">
        <v>45444</v>
      </c>
      <c r="CB38" s="33">
        <v>45809</v>
      </c>
      <c r="CC38" s="33"/>
      <c r="CD38" s="28" t="s">
        <v>128</v>
      </c>
    </row>
    <row r="39" spans="1:82" x14ac:dyDescent="0.25">
      <c r="A39" s="14" t="s">
        <v>94</v>
      </c>
      <c r="B39" s="8" t="s">
        <v>95</v>
      </c>
      <c r="C39" s="9">
        <v>6116.0370000000003</v>
      </c>
      <c r="D39" s="9">
        <f>6515.713-24.142</f>
        <v>6491.5709999999999</v>
      </c>
      <c r="E39" s="9">
        <f>7182.959-38.111</f>
        <v>7144.848</v>
      </c>
      <c r="F39" s="9">
        <v>7558.3280000000004</v>
      </c>
      <c r="G39" s="9">
        <v>8038.4989999999998</v>
      </c>
      <c r="H39" s="9">
        <v>8210.6689999999999</v>
      </c>
      <c r="I39" s="9">
        <v>8898.1080000000002</v>
      </c>
      <c r="J39" s="9">
        <v>8709.1380000000008</v>
      </c>
      <c r="K39" s="9">
        <v>8769.8490000000002</v>
      </c>
      <c r="L39" s="9">
        <v>9742.4120000000003</v>
      </c>
      <c r="M39" s="9">
        <v>11360.844999999999</v>
      </c>
      <c r="N39" s="9">
        <v>8695.1200000000008</v>
      </c>
      <c r="O39" s="9">
        <v>12601.407999999999</v>
      </c>
      <c r="P39" s="9">
        <v>14302.925999999999</v>
      </c>
      <c r="Q39" s="9"/>
      <c r="R39" s="32"/>
      <c r="S39" s="9">
        <v>395.90600000000001</v>
      </c>
      <c r="T39" s="9">
        <f>500.306-27.296</f>
        <v>473.01</v>
      </c>
      <c r="U39" s="9">
        <f>535.471-4.587</f>
        <v>530.88400000000001</v>
      </c>
      <c r="V39" s="9">
        <v>536.70100000000002</v>
      </c>
      <c r="W39" s="9">
        <v>525.40200000000004</v>
      </c>
      <c r="X39" s="9">
        <v>510.613</v>
      </c>
      <c r="Y39" s="9">
        <v>497.88499999999999</v>
      </c>
      <c r="Z39" s="9">
        <v>513.37099999999998</v>
      </c>
      <c r="AA39" s="9">
        <v>247.959</v>
      </c>
      <c r="AB39" s="9">
        <v>681.24199999999996</v>
      </c>
      <c r="AC39" s="9">
        <v>773.90499999999997</v>
      </c>
      <c r="AD39" s="9">
        <v>1136.0360000000001</v>
      </c>
      <c r="AE39" s="9">
        <v>1254.008</v>
      </c>
      <c r="AF39" s="9">
        <v>1602.278</v>
      </c>
      <c r="AG39" s="9"/>
      <c r="AH39" s="32"/>
      <c r="AI39" s="9" t="s">
        <v>24</v>
      </c>
      <c r="AJ39" s="9" t="s">
        <v>24</v>
      </c>
      <c r="AK39" s="9" t="s">
        <v>24</v>
      </c>
      <c r="AL39" s="9" t="s">
        <v>24</v>
      </c>
      <c r="AM39" s="9" t="s">
        <v>24</v>
      </c>
      <c r="AN39" s="9" t="s">
        <v>24</v>
      </c>
      <c r="AO39" s="9" t="s">
        <v>24</v>
      </c>
      <c r="AP39" s="9" t="s">
        <v>24</v>
      </c>
      <c r="AQ39" s="9" t="s">
        <v>24</v>
      </c>
      <c r="AR39" s="9" t="s">
        <v>24</v>
      </c>
      <c r="AS39" s="9" t="s">
        <v>24</v>
      </c>
      <c r="AT39" s="9" t="s">
        <v>24</v>
      </c>
      <c r="AU39" s="9" t="s">
        <v>24</v>
      </c>
      <c r="AV39" s="9" t="s">
        <v>24</v>
      </c>
      <c r="AW39" s="9"/>
      <c r="AX39" s="9"/>
      <c r="AY39" s="9">
        <v>7007.3789999999999</v>
      </c>
      <c r="AZ39" s="9">
        <v>7454.3810000000003</v>
      </c>
      <c r="BA39" s="9">
        <v>8166.8959999999997</v>
      </c>
      <c r="BB39" s="9">
        <v>8598.652</v>
      </c>
      <c r="BC39" s="9">
        <v>9225.5910000000003</v>
      </c>
      <c r="BD39" s="9">
        <v>9311.0280000000002</v>
      </c>
      <c r="BE39" s="9">
        <v>10128.049000000001</v>
      </c>
      <c r="BF39" s="9">
        <v>9896.3649999999998</v>
      </c>
      <c r="BG39" s="9">
        <v>9796.5329999999994</v>
      </c>
      <c r="BH39" s="9">
        <v>11105.589</v>
      </c>
      <c r="BI39" s="9">
        <v>12765.795</v>
      </c>
      <c r="BJ39" s="9">
        <v>10919.866</v>
      </c>
      <c r="BK39" s="9">
        <v>14764.35</v>
      </c>
      <c r="BL39" s="9">
        <v>16887.838</v>
      </c>
      <c r="BM39" s="9"/>
      <c r="BN39" s="32"/>
      <c r="BO39" s="33">
        <v>41061</v>
      </c>
      <c r="BP39" s="33">
        <v>41395</v>
      </c>
      <c r="BQ39" s="33">
        <v>41791</v>
      </c>
      <c r="BR39" s="33">
        <v>42125</v>
      </c>
      <c r="BS39" s="33">
        <v>42522</v>
      </c>
      <c r="BT39" s="33">
        <v>42856</v>
      </c>
      <c r="BU39" s="33">
        <v>43252</v>
      </c>
      <c r="BV39" s="33">
        <v>43586</v>
      </c>
      <c r="BW39" s="33">
        <v>43983</v>
      </c>
      <c r="BX39" s="33">
        <v>44317</v>
      </c>
      <c r="BY39" s="33">
        <v>44713</v>
      </c>
      <c r="BZ39" s="33">
        <v>45063</v>
      </c>
      <c r="CA39" s="33">
        <v>45444</v>
      </c>
      <c r="CB39" s="33">
        <v>45778</v>
      </c>
      <c r="CC39" s="33"/>
      <c r="CD39" s="37" t="s">
        <v>129</v>
      </c>
    </row>
    <row r="40" spans="1:82" x14ac:dyDescent="0.25">
      <c r="A40" s="34" t="s">
        <v>96</v>
      </c>
      <c r="B40" s="8" t="s">
        <v>97</v>
      </c>
      <c r="C40" s="9">
        <v>10800.527</v>
      </c>
      <c r="D40" s="9">
        <v>11727.5</v>
      </c>
      <c r="E40" s="9">
        <v>12032.8</v>
      </c>
      <c r="F40" s="9">
        <v>12707.9</v>
      </c>
      <c r="G40" s="9">
        <v>13052</v>
      </c>
      <c r="H40" s="9">
        <v>13304.8</v>
      </c>
      <c r="I40" s="9">
        <v>14174.1</v>
      </c>
      <c r="J40" s="9">
        <v>14570.1</v>
      </c>
      <c r="K40" s="9">
        <v>15438.2</v>
      </c>
      <c r="L40" s="9">
        <v>15768.8</v>
      </c>
      <c r="M40" s="9">
        <v>18163.7</v>
      </c>
      <c r="N40" s="9">
        <v>18124.7</v>
      </c>
      <c r="O40" s="9">
        <v>18770.3</v>
      </c>
      <c r="P40" s="9">
        <v>19631.8</v>
      </c>
      <c r="Q40" s="9"/>
      <c r="R40" s="32"/>
      <c r="S40" s="9">
        <v>2022.4010000000001</v>
      </c>
      <c r="T40" s="9">
        <v>2482.1</v>
      </c>
      <c r="U40" s="9">
        <v>2501.1999999999998</v>
      </c>
      <c r="V40" s="9">
        <v>2831.7</v>
      </c>
      <c r="W40" s="9">
        <v>2982.4</v>
      </c>
      <c r="X40" s="9">
        <v>3118.7</v>
      </c>
      <c r="Y40" s="9">
        <v>2926.3</v>
      </c>
      <c r="Z40" s="9">
        <v>3558</v>
      </c>
      <c r="AA40" s="9">
        <v>3252.6</v>
      </c>
      <c r="AB40" s="9">
        <v>3776.5</v>
      </c>
      <c r="AC40" s="9">
        <v>4900.2</v>
      </c>
      <c r="AD40" s="9">
        <v>5651.3</v>
      </c>
      <c r="AE40" s="9">
        <v>5354.9</v>
      </c>
      <c r="AF40" s="9">
        <v>4741.2</v>
      </c>
      <c r="AG40" s="9"/>
      <c r="AH40" s="32"/>
      <c r="AI40" s="9">
        <v>8772.2659999999996</v>
      </c>
      <c r="AJ40" s="9">
        <v>9228.7000000000007</v>
      </c>
      <c r="AK40" s="9">
        <v>9477.2999999999993</v>
      </c>
      <c r="AL40" s="9">
        <v>9824.7000000000007</v>
      </c>
      <c r="AM40" s="9">
        <v>10204.5</v>
      </c>
      <c r="AN40" s="9">
        <v>10340.9</v>
      </c>
      <c r="AO40" s="9">
        <v>10752.6</v>
      </c>
      <c r="AP40" s="9">
        <v>11454.4</v>
      </c>
      <c r="AQ40" s="9">
        <v>11904</v>
      </c>
      <c r="AR40" s="9">
        <v>12801.1</v>
      </c>
      <c r="AS40" s="9">
        <v>13814.9</v>
      </c>
      <c r="AT40" s="9">
        <v>14012.6</v>
      </c>
      <c r="AU40" s="9">
        <v>14535.6</v>
      </c>
      <c r="AV40" s="9">
        <v>15317.5</v>
      </c>
      <c r="AW40" s="9"/>
      <c r="AX40" s="9"/>
      <c r="AY40" s="9">
        <v>27677.999</v>
      </c>
      <c r="AZ40" s="9">
        <v>29115.9</v>
      </c>
      <c r="BA40" s="9">
        <v>30180.555</v>
      </c>
      <c r="BB40" s="9">
        <v>30871.7</v>
      </c>
      <c r="BC40" s="9">
        <v>32776.400000000001</v>
      </c>
      <c r="BD40" s="9">
        <v>34704.1</v>
      </c>
      <c r="BE40" s="9">
        <v>33974.800000000003</v>
      </c>
      <c r="BF40" s="9">
        <v>35496.800000000003</v>
      </c>
      <c r="BG40" s="9">
        <v>36954.699999999997</v>
      </c>
      <c r="BH40" s="9">
        <v>42536.2</v>
      </c>
      <c r="BI40" s="9">
        <v>43579.7</v>
      </c>
      <c r="BJ40" s="9">
        <v>44881.1</v>
      </c>
      <c r="BK40" s="9">
        <v>46087.4</v>
      </c>
      <c r="BL40" s="9">
        <v>47787.6</v>
      </c>
      <c r="BM40" s="9"/>
      <c r="BN40" s="32"/>
      <c r="BO40" s="33">
        <v>41061</v>
      </c>
      <c r="BP40" s="33">
        <v>41426</v>
      </c>
      <c r="BQ40" s="33">
        <v>41791</v>
      </c>
      <c r="BR40" s="33">
        <v>42156</v>
      </c>
      <c r="BS40" s="33">
        <v>42522</v>
      </c>
      <c r="BT40" s="33">
        <v>42887</v>
      </c>
      <c r="BU40" s="33">
        <v>43252</v>
      </c>
      <c r="BV40" s="33">
        <v>43617</v>
      </c>
      <c r="BW40" s="33">
        <v>43983</v>
      </c>
      <c r="BX40" s="33">
        <v>44348</v>
      </c>
      <c r="BY40" s="33">
        <v>44713</v>
      </c>
      <c r="BZ40" s="33">
        <v>45078</v>
      </c>
      <c r="CA40" s="33">
        <v>45444</v>
      </c>
      <c r="CB40" s="41">
        <v>45962</v>
      </c>
      <c r="CC40" s="33"/>
      <c r="CD40" s="28" t="s">
        <v>128</v>
      </c>
    </row>
    <row r="41" spans="1:82" x14ac:dyDescent="0.25">
      <c r="A41" s="14" t="s">
        <v>98</v>
      </c>
      <c r="B41" s="8" t="s">
        <v>99</v>
      </c>
      <c r="C41" s="9">
        <v>1076.5</v>
      </c>
      <c r="D41" s="9">
        <v>1107.8</v>
      </c>
      <c r="E41" s="9">
        <v>1148.0999999999999</v>
      </c>
      <c r="F41" s="9">
        <v>1228.2</v>
      </c>
      <c r="G41" s="9">
        <v>1257.4000000000001</v>
      </c>
      <c r="H41" s="9">
        <v>1297.3</v>
      </c>
      <c r="I41" s="9">
        <v>1381.2</v>
      </c>
      <c r="J41" s="9">
        <v>1426.8</v>
      </c>
      <c r="K41" s="9">
        <v>1295.8</v>
      </c>
      <c r="L41" s="9">
        <v>1535</v>
      </c>
      <c r="M41" s="9">
        <v>1827.1</v>
      </c>
      <c r="N41" s="9">
        <v>1886.9</v>
      </c>
      <c r="O41" s="9">
        <v>1856.6</v>
      </c>
      <c r="P41" s="9">
        <v>1999.2</v>
      </c>
      <c r="Q41" s="9"/>
      <c r="R41" s="32"/>
      <c r="S41" s="9">
        <f>132.9+1.7</f>
        <v>134.6</v>
      </c>
      <c r="T41" s="9">
        <f>141.3+4.3</f>
        <v>145.60000000000002</v>
      </c>
      <c r="U41" s="9">
        <f>115.4+11.5</f>
        <v>126.9</v>
      </c>
      <c r="V41" s="9">
        <f>138+16.5</f>
        <v>154.5</v>
      </c>
      <c r="W41" s="9">
        <f>158.4+20.3</f>
        <v>178.70000000000002</v>
      </c>
      <c r="X41" s="9">
        <f>158+20.1</f>
        <v>178.1</v>
      </c>
      <c r="Y41" s="9">
        <f>176+21.8</f>
        <v>197.8</v>
      </c>
      <c r="Z41" s="9">
        <f>164+24.4</f>
        <v>188.4</v>
      </c>
      <c r="AA41" s="9">
        <f>132.3+21.2</f>
        <v>153.5</v>
      </c>
      <c r="AB41" s="9">
        <f>147.2+26.9</f>
        <v>174.1</v>
      </c>
      <c r="AC41" s="9">
        <f>214.9+31</f>
        <v>245.9</v>
      </c>
      <c r="AD41" s="9">
        <f>276+34.5</f>
        <v>310.5</v>
      </c>
      <c r="AE41" s="9">
        <f>345+36.7</f>
        <v>381.7</v>
      </c>
      <c r="AF41" s="9">
        <f>351+21.2</f>
        <v>372.2</v>
      </c>
      <c r="AG41" s="9"/>
      <c r="AH41" s="32"/>
      <c r="AI41" s="9">
        <v>873.4</v>
      </c>
      <c r="AJ41" s="9">
        <v>895</v>
      </c>
      <c r="AK41" s="9">
        <v>937</v>
      </c>
      <c r="AL41" s="9">
        <v>1000</v>
      </c>
      <c r="AM41" s="9">
        <v>1015</v>
      </c>
      <c r="AN41" s="9">
        <v>1035</v>
      </c>
      <c r="AO41" s="9">
        <v>1082</v>
      </c>
      <c r="AP41" s="9">
        <v>1172.9000000000001</v>
      </c>
      <c r="AQ41" s="9">
        <v>1109.0999999999999</v>
      </c>
      <c r="AR41" s="9">
        <v>1305.2</v>
      </c>
      <c r="AS41" s="9">
        <v>1506</v>
      </c>
      <c r="AT41" s="9">
        <v>1607</v>
      </c>
      <c r="AU41" s="9">
        <v>1701.3</v>
      </c>
      <c r="AV41" s="9">
        <v>1723.3</v>
      </c>
      <c r="AW41" s="9"/>
      <c r="AX41" s="9"/>
      <c r="AY41" s="9">
        <v>3146.84</v>
      </c>
      <c r="AZ41" s="9">
        <v>3236.9450000000002</v>
      </c>
      <c r="BA41" s="9">
        <v>3343.2750000000001</v>
      </c>
      <c r="BB41" s="9">
        <v>3416.797</v>
      </c>
      <c r="BC41" s="9">
        <v>3501.665</v>
      </c>
      <c r="BD41" s="9">
        <v>3572.1469999999999</v>
      </c>
      <c r="BE41" s="9">
        <v>3740.95</v>
      </c>
      <c r="BF41" s="9">
        <v>3952.45</v>
      </c>
      <c r="BG41" s="9">
        <v>3725.85</v>
      </c>
      <c r="BH41" s="9">
        <v>4191.7</v>
      </c>
      <c r="BI41" s="9">
        <v>4776.2</v>
      </c>
      <c r="BJ41" s="9">
        <v>5101.8999999999996</v>
      </c>
      <c r="BK41" s="9">
        <v>5463.9</v>
      </c>
      <c r="BL41" s="9">
        <v>5486.3</v>
      </c>
      <c r="BM41" s="9"/>
      <c r="BN41" s="32"/>
      <c r="BO41" s="33">
        <v>41030</v>
      </c>
      <c r="BP41" s="33">
        <v>41395</v>
      </c>
      <c r="BQ41" s="33">
        <v>41760</v>
      </c>
      <c r="BR41" s="33">
        <v>42125</v>
      </c>
      <c r="BS41" s="33">
        <v>42491</v>
      </c>
      <c r="BT41" s="33">
        <v>42856</v>
      </c>
      <c r="BU41" s="33">
        <v>43221</v>
      </c>
      <c r="BV41" s="33">
        <v>43586</v>
      </c>
      <c r="BW41" s="33">
        <v>43952</v>
      </c>
      <c r="BX41" s="33">
        <v>44317</v>
      </c>
      <c r="BY41" s="33">
        <v>44682</v>
      </c>
      <c r="BZ41" s="33">
        <v>45063</v>
      </c>
      <c r="CA41" s="33">
        <v>45413</v>
      </c>
      <c r="CB41" s="33">
        <v>45778</v>
      </c>
      <c r="CC41" s="33"/>
      <c r="CD41" s="28" t="s">
        <v>128</v>
      </c>
    </row>
    <row r="42" spans="1:82" x14ac:dyDescent="0.25">
      <c r="A42" s="14" t="s">
        <v>100</v>
      </c>
      <c r="B42" s="8" t="s">
        <v>101</v>
      </c>
      <c r="C42" s="9">
        <v>3285.6990139999998</v>
      </c>
      <c r="D42" s="9">
        <v>3354.632098</v>
      </c>
      <c r="E42" s="9">
        <v>3514.8454299999999</v>
      </c>
      <c r="F42" s="9">
        <v>3777.1559999999999</v>
      </c>
      <c r="G42" s="9">
        <v>4066.8870000000002</v>
      </c>
      <c r="H42" s="9">
        <v>4296.3999999999996</v>
      </c>
      <c r="I42" s="9">
        <v>4417.4170000000004</v>
      </c>
      <c r="J42" s="9">
        <v>4661.0290000000005</v>
      </c>
      <c r="K42" s="9">
        <v>4707.9160000000002</v>
      </c>
      <c r="L42" s="9">
        <v>5064.6670000000004</v>
      </c>
      <c r="M42" s="9">
        <v>6252.2624150000001</v>
      </c>
      <c r="N42" s="9">
        <v>5923.6260000000002</v>
      </c>
      <c r="O42" s="9">
        <v>6108.4809999999998</v>
      </c>
      <c r="P42" s="9">
        <v>6519.82</v>
      </c>
      <c r="Q42" s="9"/>
      <c r="R42" s="32"/>
      <c r="S42" s="9">
        <v>228.3</v>
      </c>
      <c r="T42" s="9">
        <v>288.08524499999999</v>
      </c>
      <c r="U42" s="9">
        <v>355</v>
      </c>
      <c r="V42" s="9">
        <v>357.13099999999997</v>
      </c>
      <c r="W42" s="9">
        <v>393.154</v>
      </c>
      <c r="X42" s="9">
        <v>329.48599999999999</v>
      </c>
      <c r="Y42" s="9">
        <v>358.91399999999999</v>
      </c>
      <c r="Z42" s="9">
        <v>400.99700000000001</v>
      </c>
      <c r="AA42" s="9">
        <v>375.56</v>
      </c>
      <c r="AB42" s="9">
        <v>465.9</v>
      </c>
      <c r="AC42" s="9">
        <v>560.44799999999998</v>
      </c>
      <c r="AD42" s="9">
        <v>762.08299999999997</v>
      </c>
      <c r="AE42" s="9">
        <v>927.68</v>
      </c>
      <c r="AF42" s="9">
        <v>1204.3820000000001</v>
      </c>
      <c r="AG42" s="9"/>
      <c r="AH42" s="32"/>
      <c r="AI42" s="9">
        <v>2446.4145560000002</v>
      </c>
      <c r="AJ42" s="9">
        <v>2491.50099</v>
      </c>
      <c r="AK42" s="9">
        <v>2569.3300960000001</v>
      </c>
      <c r="AL42" s="9">
        <v>2751.1860000000001</v>
      </c>
      <c r="AM42" s="9">
        <v>2925.788</v>
      </c>
      <c r="AN42" s="9">
        <v>3041.2069999999999</v>
      </c>
      <c r="AO42" s="9">
        <v>3147.6849999999999</v>
      </c>
      <c r="AP42" s="9">
        <v>3399.9259999999999</v>
      </c>
      <c r="AQ42" s="9">
        <v>3419.654</v>
      </c>
      <c r="AR42" s="9">
        <v>3419.654</v>
      </c>
      <c r="AS42" s="9">
        <v>3852.4560000000001</v>
      </c>
      <c r="AT42" s="9">
        <v>4504.7250000000004</v>
      </c>
      <c r="AU42" s="9">
        <v>4845.6760000000004</v>
      </c>
      <c r="AV42" s="9">
        <v>5098.7740000000003</v>
      </c>
      <c r="AW42" s="9"/>
      <c r="AX42" s="9"/>
      <c r="AY42" s="9">
        <v>6674.1423910000003</v>
      </c>
      <c r="AZ42" s="9">
        <v>6889.954369</v>
      </c>
      <c r="BA42" s="9">
        <v>7213.1591630000003</v>
      </c>
      <c r="BB42" s="9">
        <v>7670.473</v>
      </c>
      <c r="BC42" s="9">
        <v>8235.7520000000004</v>
      </c>
      <c r="BD42" s="9">
        <v>8518.393</v>
      </c>
      <c r="BE42" s="9">
        <v>8838.4580000000005</v>
      </c>
      <c r="BF42" s="9">
        <v>9330.6740000000009</v>
      </c>
      <c r="BG42" s="9">
        <v>9552.2330000000002</v>
      </c>
      <c r="BH42" s="9">
        <v>9925.4279999999999</v>
      </c>
      <c r="BI42" s="9">
        <v>11876.877415000001</v>
      </c>
      <c r="BJ42" s="9">
        <v>12558.634</v>
      </c>
      <c r="BK42" s="9">
        <v>13350.347</v>
      </c>
      <c r="BL42" s="9">
        <v>14491.93</v>
      </c>
      <c r="BM42" s="9"/>
      <c r="BN42" s="32"/>
      <c r="BO42" s="33">
        <v>41030</v>
      </c>
      <c r="BP42" s="47">
        <v>41306</v>
      </c>
      <c r="BQ42" s="33">
        <v>41760</v>
      </c>
      <c r="BR42" s="33">
        <v>42125</v>
      </c>
      <c r="BS42" s="33">
        <v>42491</v>
      </c>
      <c r="BT42" s="47">
        <v>42767</v>
      </c>
      <c r="BU42" s="33">
        <v>43191</v>
      </c>
      <c r="BV42" s="47">
        <v>43497</v>
      </c>
      <c r="BW42" s="33">
        <v>43952</v>
      </c>
      <c r="BX42" s="33">
        <v>44287</v>
      </c>
      <c r="BY42" s="33">
        <v>44682</v>
      </c>
      <c r="BZ42" s="33">
        <v>45055</v>
      </c>
      <c r="CA42" s="33">
        <v>45413</v>
      </c>
      <c r="CB42" s="33">
        <v>45778</v>
      </c>
      <c r="CC42" s="33"/>
      <c r="CD42" s="28" t="s">
        <v>128</v>
      </c>
    </row>
    <row r="43" spans="1:82" x14ac:dyDescent="0.25">
      <c r="A43" s="14" t="s">
        <v>102</v>
      </c>
      <c r="B43" s="8" t="s">
        <v>103</v>
      </c>
      <c r="C43" s="9" t="s">
        <v>24</v>
      </c>
      <c r="D43" s="9" t="s">
        <v>24</v>
      </c>
      <c r="E43" s="9" t="s">
        <v>24</v>
      </c>
      <c r="F43" s="9" t="s">
        <v>24</v>
      </c>
      <c r="G43" s="9" t="s">
        <v>24</v>
      </c>
      <c r="H43" s="9" t="s">
        <v>24</v>
      </c>
      <c r="I43" s="9" t="s">
        <v>24</v>
      </c>
      <c r="J43" s="9" t="s">
        <v>24</v>
      </c>
      <c r="K43" s="9" t="s">
        <v>24</v>
      </c>
      <c r="L43" s="9" t="s">
        <v>24</v>
      </c>
      <c r="M43" s="9" t="s">
        <v>24</v>
      </c>
      <c r="N43" s="9" t="s">
        <v>24</v>
      </c>
      <c r="O43" s="9" t="s">
        <v>24</v>
      </c>
      <c r="P43" s="9" t="s">
        <v>24</v>
      </c>
      <c r="Q43" s="9"/>
      <c r="R43" s="32"/>
      <c r="S43" s="9">
        <v>24.389040000000001</v>
      </c>
      <c r="T43" s="9">
        <v>23.245654999999999</v>
      </c>
      <c r="U43" s="9">
        <v>8.7116120000000006</v>
      </c>
      <c r="V43" s="9">
        <v>10.809812000000001</v>
      </c>
      <c r="W43" s="9">
        <v>11.424177</v>
      </c>
      <c r="X43" s="9">
        <v>10.777309000000001</v>
      </c>
      <c r="Y43" s="9">
        <v>11.872042</v>
      </c>
      <c r="Z43" s="9">
        <v>14.471640000000001</v>
      </c>
      <c r="AA43" s="9">
        <v>14.889195000000001</v>
      </c>
      <c r="AB43" s="9">
        <v>15.659821000000001</v>
      </c>
      <c r="AC43" s="9">
        <v>17.151486999999999</v>
      </c>
      <c r="AD43" s="9">
        <v>19.169875000000001</v>
      </c>
      <c r="AE43" s="9">
        <v>16.967424000000001</v>
      </c>
      <c r="AF43" s="9">
        <v>26.222175</v>
      </c>
      <c r="AG43" s="9"/>
      <c r="AH43" s="32"/>
      <c r="AI43" s="9">
        <v>764.16960099999994</v>
      </c>
      <c r="AJ43" s="9">
        <v>802.98803399999997</v>
      </c>
      <c r="AK43" s="9">
        <v>848.43104600000004</v>
      </c>
      <c r="AL43" s="9">
        <v>869.18325600000003</v>
      </c>
      <c r="AM43" s="9">
        <v>901.48978999999997</v>
      </c>
      <c r="AN43" s="9">
        <v>999.50903600000004</v>
      </c>
      <c r="AO43" s="9">
        <v>1030.3864020000001</v>
      </c>
      <c r="AP43" s="9">
        <v>1073.0399849999999</v>
      </c>
      <c r="AQ43" s="9">
        <v>1098.8179749999999</v>
      </c>
      <c r="AR43" s="9">
        <v>1149.278695</v>
      </c>
      <c r="AS43" s="9">
        <v>1279.133041</v>
      </c>
      <c r="AT43" s="9">
        <v>1414.685166</v>
      </c>
      <c r="AU43" s="9">
        <v>1503.6203860000001</v>
      </c>
      <c r="AV43" s="9">
        <v>1492.327642</v>
      </c>
      <c r="AW43" s="9"/>
      <c r="AX43" s="9"/>
      <c r="AY43" s="9">
        <v>1239.3433849999999</v>
      </c>
      <c r="AZ43" s="9">
        <v>1319.516302</v>
      </c>
      <c r="BA43" s="9">
        <v>1387.6891989999999</v>
      </c>
      <c r="BB43" s="9">
        <v>1431.820745</v>
      </c>
      <c r="BC43" s="9">
        <v>1488.8220819999999</v>
      </c>
      <c r="BD43" s="9">
        <v>1601.240591</v>
      </c>
      <c r="BE43" s="9">
        <v>1636.223677</v>
      </c>
      <c r="BF43" s="9">
        <v>1695.4930810000001</v>
      </c>
      <c r="BG43" s="9">
        <v>1734.1783089999999</v>
      </c>
      <c r="BH43" s="9">
        <v>1811.9070610000001</v>
      </c>
      <c r="BI43" s="9">
        <v>2002.436518</v>
      </c>
      <c r="BJ43" s="9">
        <v>2220.047982</v>
      </c>
      <c r="BK43" s="9">
        <v>2412.7113300000001</v>
      </c>
      <c r="BL43" s="9">
        <v>2446.139236</v>
      </c>
      <c r="BM43" s="9"/>
      <c r="BN43" s="32"/>
      <c r="BO43" s="33">
        <v>40940</v>
      </c>
      <c r="BP43" s="33">
        <v>41306</v>
      </c>
      <c r="BQ43" s="33">
        <v>41699</v>
      </c>
      <c r="BR43" s="33">
        <v>42064</v>
      </c>
      <c r="BS43" s="33">
        <v>42401</v>
      </c>
      <c r="BT43" s="33">
        <v>42767</v>
      </c>
      <c r="BU43" s="33">
        <v>43132</v>
      </c>
      <c r="BV43" s="33">
        <v>43497</v>
      </c>
      <c r="BW43" s="33">
        <v>43862</v>
      </c>
      <c r="BX43" s="33">
        <v>44228</v>
      </c>
      <c r="BY43" s="33">
        <v>44593</v>
      </c>
      <c r="BZ43" s="33">
        <v>44971</v>
      </c>
      <c r="CA43" s="33">
        <v>45323</v>
      </c>
      <c r="CB43" s="33">
        <v>45689</v>
      </c>
      <c r="CC43" s="33"/>
      <c r="CD43" s="28" t="s">
        <v>128</v>
      </c>
    </row>
    <row r="44" spans="1:82" x14ac:dyDescent="0.25">
      <c r="A44" s="12" t="s">
        <v>104</v>
      </c>
      <c r="B44" s="8" t="s">
        <v>105</v>
      </c>
      <c r="C44" s="9">
        <v>215</v>
      </c>
      <c r="D44" s="9">
        <v>204.1</v>
      </c>
      <c r="E44" s="9">
        <v>264.10000000000002</v>
      </c>
      <c r="F44" s="9">
        <v>269.10000000000002</v>
      </c>
      <c r="G44" s="9">
        <v>341</v>
      </c>
      <c r="H44" s="9">
        <v>272</v>
      </c>
      <c r="I44" s="9">
        <v>157.9</v>
      </c>
      <c r="J44" s="9">
        <v>103.2</v>
      </c>
      <c r="K44" s="9">
        <v>75.3</v>
      </c>
      <c r="L44" s="9">
        <v>3.9</v>
      </c>
      <c r="M44" s="9">
        <v>0</v>
      </c>
      <c r="N44" s="9">
        <v>0</v>
      </c>
      <c r="O44" s="9">
        <v>0</v>
      </c>
      <c r="P44" s="9">
        <v>0</v>
      </c>
      <c r="Q44" s="9"/>
      <c r="R44" s="32"/>
      <c r="S44" s="9">
        <f>1031.6+689.1</f>
        <v>1720.6999999999998</v>
      </c>
      <c r="T44" s="9">
        <f>1387.7+747.3</f>
        <v>2135</v>
      </c>
      <c r="U44" s="9">
        <f>1338.5+720.7</f>
        <v>2059.1999999999998</v>
      </c>
      <c r="V44" s="9">
        <f>1241+668.2</f>
        <v>1909.2</v>
      </c>
      <c r="W44" s="9">
        <f>1398.6+753.1</f>
        <v>2151.6999999999998</v>
      </c>
      <c r="X44" s="9">
        <f>1613.9+869</f>
        <v>2482.9</v>
      </c>
      <c r="Y44" s="9">
        <f>1640.5+883.4</f>
        <v>2523.9</v>
      </c>
      <c r="Z44" s="9">
        <f>1700.8+915.8</f>
        <v>2616.6</v>
      </c>
      <c r="AA44" s="9">
        <f>1047.7+1945.7</f>
        <v>2993.4</v>
      </c>
      <c r="AB44" s="9">
        <f>991.8+1842</f>
        <v>2833.8</v>
      </c>
      <c r="AC44" s="9">
        <f>1390.7+2582.6</f>
        <v>3973.3</v>
      </c>
      <c r="AD44" s="9">
        <f>1750.7+3251.2</f>
        <v>5001.8999999999996</v>
      </c>
      <c r="AE44" s="9">
        <f>1327+2953.6</f>
        <v>4280.6000000000004</v>
      </c>
      <c r="AF44" s="9">
        <f>1216.3+2707.1</f>
        <v>3923.3999999999996</v>
      </c>
      <c r="AG44" s="9"/>
      <c r="AH44" s="32"/>
      <c r="AI44" s="9">
        <v>7069.1</v>
      </c>
      <c r="AJ44" s="9">
        <v>7302.6</v>
      </c>
      <c r="AK44" s="9">
        <v>7515.1</v>
      </c>
      <c r="AL44" s="9">
        <v>7878.2</v>
      </c>
      <c r="AM44" s="9">
        <v>8280.1</v>
      </c>
      <c r="AN44" s="9">
        <v>8861.1</v>
      </c>
      <c r="AO44" s="9">
        <v>9023.7999999999993</v>
      </c>
      <c r="AP44" s="9">
        <v>9463.9</v>
      </c>
      <c r="AQ44" s="9">
        <v>10028.9</v>
      </c>
      <c r="AR44" s="9">
        <v>10325.5</v>
      </c>
      <c r="AS44" s="9">
        <v>12357.7</v>
      </c>
      <c r="AT44" s="9">
        <v>14260.2</v>
      </c>
      <c r="AU44" s="9">
        <v>14387.8</v>
      </c>
      <c r="AV44" s="9">
        <v>14890</v>
      </c>
      <c r="AW44" s="9"/>
      <c r="AX44" s="9"/>
      <c r="AY44" s="9">
        <v>13026.1</v>
      </c>
      <c r="AZ44" s="9">
        <v>13827.2</v>
      </c>
      <c r="BA44" s="9">
        <v>14063.2</v>
      </c>
      <c r="BB44" s="9">
        <v>14330.4</v>
      </c>
      <c r="BC44" s="9">
        <v>15153.4</v>
      </c>
      <c r="BD44" s="9">
        <v>16125.5</v>
      </c>
      <c r="BE44" s="9">
        <v>16643.900000000001</v>
      </c>
      <c r="BF44" s="9">
        <v>17346.7</v>
      </c>
      <c r="BG44" s="9">
        <v>18495.7</v>
      </c>
      <c r="BH44" s="9">
        <v>18660.7</v>
      </c>
      <c r="BI44" s="9">
        <v>22182.7</v>
      </c>
      <c r="BJ44" s="9">
        <v>25423.7</v>
      </c>
      <c r="BK44" s="9">
        <v>24872.400000000001</v>
      </c>
      <c r="BL44" s="9">
        <v>26471.5</v>
      </c>
      <c r="BM44" s="9"/>
      <c r="BN44" s="32"/>
      <c r="BO44" s="33">
        <v>40848</v>
      </c>
      <c r="BP44" s="33">
        <v>41214</v>
      </c>
      <c r="BQ44" s="33">
        <v>41579</v>
      </c>
      <c r="BR44" s="33">
        <v>41944</v>
      </c>
      <c r="BS44" s="33">
        <v>42309</v>
      </c>
      <c r="BT44" s="33">
        <v>42675</v>
      </c>
      <c r="BU44" s="33">
        <v>43040</v>
      </c>
      <c r="BV44" s="33">
        <v>43405</v>
      </c>
      <c r="BW44" s="33">
        <v>43770</v>
      </c>
      <c r="BX44" s="33">
        <v>44136</v>
      </c>
      <c r="BY44" s="33">
        <v>44501</v>
      </c>
      <c r="BZ44" s="33">
        <v>44866</v>
      </c>
      <c r="CA44" s="33">
        <v>45231</v>
      </c>
      <c r="CB44" s="33">
        <v>45597</v>
      </c>
      <c r="CC44" s="33"/>
      <c r="CD44" s="28" t="s">
        <v>128</v>
      </c>
    </row>
    <row r="45" spans="1:82" x14ac:dyDescent="0.25">
      <c r="A45" s="12" t="s">
        <v>106</v>
      </c>
      <c r="B45" s="8" t="s">
        <v>107</v>
      </c>
      <c r="C45" s="9" t="s">
        <v>24</v>
      </c>
      <c r="D45" s="9" t="s">
        <v>24</v>
      </c>
      <c r="E45" s="9" t="s">
        <v>24</v>
      </c>
      <c r="F45" s="9" t="s">
        <v>24</v>
      </c>
      <c r="G45" s="9" t="s">
        <v>24</v>
      </c>
      <c r="H45" s="9" t="s">
        <v>24</v>
      </c>
      <c r="I45" s="9" t="s">
        <v>24</v>
      </c>
      <c r="J45" s="9" t="s">
        <v>24</v>
      </c>
      <c r="K45" s="9" t="s">
        <v>24</v>
      </c>
      <c r="L45" s="9" t="s">
        <v>24</v>
      </c>
      <c r="M45" s="9" t="s">
        <v>24</v>
      </c>
      <c r="N45" s="9" t="s">
        <v>24</v>
      </c>
      <c r="O45" s="9" t="s">
        <v>24</v>
      </c>
      <c r="P45" s="9" t="s">
        <v>24</v>
      </c>
      <c r="Q45" s="9"/>
      <c r="R45" s="32"/>
      <c r="S45" s="9" t="s">
        <v>24</v>
      </c>
      <c r="T45" s="9" t="s">
        <v>24</v>
      </c>
      <c r="U45" s="9" t="s">
        <v>24</v>
      </c>
      <c r="V45" s="9" t="s">
        <v>24</v>
      </c>
      <c r="W45" s="9" t="s">
        <v>24</v>
      </c>
      <c r="X45" s="9" t="s">
        <v>24</v>
      </c>
      <c r="Y45" s="9" t="s">
        <v>24</v>
      </c>
      <c r="Z45" s="9" t="s">
        <v>24</v>
      </c>
      <c r="AA45" s="9" t="s">
        <v>24</v>
      </c>
      <c r="AB45" s="9" t="s">
        <v>24</v>
      </c>
      <c r="AC45" s="9" t="s">
        <v>24</v>
      </c>
      <c r="AD45" s="9" t="s">
        <v>24</v>
      </c>
      <c r="AE45" s="9" t="s">
        <v>24</v>
      </c>
      <c r="AF45" s="9" t="s">
        <v>24</v>
      </c>
      <c r="AG45" s="9"/>
      <c r="AH45" s="32"/>
      <c r="AI45" s="9">
        <v>22704.456999999999</v>
      </c>
      <c r="AJ45" s="9">
        <v>26840.353999999999</v>
      </c>
      <c r="AK45" s="9">
        <v>27724.696</v>
      </c>
      <c r="AL45" s="9">
        <v>29258.665000000001</v>
      </c>
      <c r="AM45" s="9">
        <v>30663.502</v>
      </c>
      <c r="AN45" s="9">
        <v>30490.044000000002</v>
      </c>
      <c r="AO45" s="9">
        <v>33506.194000000003</v>
      </c>
      <c r="AP45" s="9">
        <v>35650.870000000003</v>
      </c>
      <c r="AQ45" s="9">
        <v>32247.302</v>
      </c>
      <c r="AR45" s="9">
        <v>38625.332000000002</v>
      </c>
      <c r="AS45" s="9">
        <v>43422.292000000001</v>
      </c>
      <c r="AT45" s="9">
        <v>47862.082000000002</v>
      </c>
      <c r="AU45" s="9">
        <v>49327.182000000001</v>
      </c>
      <c r="AV45" s="9">
        <v>51090.781999999999</v>
      </c>
      <c r="AW45" s="9"/>
      <c r="AX45" s="9"/>
      <c r="AY45" s="9">
        <f>(91620462-35540809)/1000</f>
        <v>56079.652999999998</v>
      </c>
      <c r="AZ45" s="9">
        <f>(102510324-35902617)/1000</f>
        <v>66607.706999999995</v>
      </c>
      <c r="BA45" s="9">
        <f>(105642392-38013459)/1000</f>
        <v>67628.933000000005</v>
      </c>
      <c r="BB45" s="9">
        <f>(108053259-37751547)/1000</f>
        <v>70301.712</v>
      </c>
      <c r="BC45" s="9">
        <f>(105944086-35047132)/1000</f>
        <v>70896.953999999998</v>
      </c>
      <c r="BD45" s="9">
        <f>(111468208-37470349)/1000</f>
        <v>73997.858999999997</v>
      </c>
      <c r="BE45" s="9">
        <f>(127293632-44271751)/1000</f>
        <v>83021.880999999994</v>
      </c>
      <c r="BF45" s="9">
        <f>(128814195-44123392)/1000</f>
        <v>84690.803</v>
      </c>
      <c r="BG45" s="9">
        <f>(127569079-49355025)/1000</f>
        <v>78214.054000000004</v>
      </c>
      <c r="BH45" s="9">
        <f>165730.355-73739.033</f>
        <v>91991.322000000015</v>
      </c>
      <c r="BI45" s="9">
        <f>183762.55-74271.189</f>
        <v>109491.36099999999</v>
      </c>
      <c r="BJ45" s="9">
        <f>(182016590-63966876)/1000</f>
        <v>118049.71400000001</v>
      </c>
      <c r="BK45" s="9">
        <f>(177398678-57121536)/1000</f>
        <v>120277.14200000001</v>
      </c>
      <c r="BL45" s="9">
        <f>176613.536-56453.621</f>
        <v>120159.91499999999</v>
      </c>
      <c r="BM45" s="9"/>
      <c r="BN45" s="32"/>
      <c r="BO45" s="41">
        <v>40848</v>
      </c>
      <c r="BP45" s="41">
        <v>41579</v>
      </c>
      <c r="BQ45" s="41">
        <v>41579</v>
      </c>
      <c r="BR45" s="41">
        <v>42290</v>
      </c>
      <c r="BS45" s="41">
        <v>42290</v>
      </c>
      <c r="BT45" s="41">
        <v>43018</v>
      </c>
      <c r="BU45" s="41">
        <v>43292</v>
      </c>
      <c r="BV45" s="41">
        <v>43748</v>
      </c>
      <c r="BW45" s="41">
        <v>44032</v>
      </c>
      <c r="BX45" s="41">
        <v>44470</v>
      </c>
      <c r="BY45" s="41">
        <v>44756</v>
      </c>
      <c r="BZ45" s="41">
        <v>45200</v>
      </c>
      <c r="CA45" s="41">
        <v>45474</v>
      </c>
      <c r="CB45" s="41">
        <v>45931</v>
      </c>
      <c r="CC45" s="41"/>
      <c r="CD45" s="28" t="s">
        <v>129</v>
      </c>
    </row>
    <row r="46" spans="1:82" x14ac:dyDescent="0.25">
      <c r="A46" s="34" t="s">
        <v>108</v>
      </c>
      <c r="B46" s="8" t="s">
        <v>109</v>
      </c>
      <c r="C46" s="9">
        <v>2596.3270000000002</v>
      </c>
      <c r="D46" s="9">
        <v>2748.7089999999998</v>
      </c>
      <c r="E46" s="9">
        <v>2913.0509999999999</v>
      </c>
      <c r="F46" s="9">
        <v>3162.6909999999998</v>
      </c>
      <c r="G46" s="9">
        <v>3534.1089999999999</v>
      </c>
      <c r="H46" s="9">
        <v>3804.7530000000002</v>
      </c>
      <c r="I46" s="9">
        <v>4128.42</v>
      </c>
      <c r="J46" s="9">
        <v>4409.53</v>
      </c>
      <c r="K46" s="9">
        <v>5168.1459999999997</v>
      </c>
      <c r="L46" s="9">
        <v>5113.866</v>
      </c>
      <c r="M46" s="9">
        <v>5730.92</v>
      </c>
      <c r="N46" s="9">
        <v>6274.6130000000003</v>
      </c>
      <c r="O46" s="9">
        <v>6450.3180000000002</v>
      </c>
      <c r="P46" s="9">
        <v>6656.0910000000003</v>
      </c>
      <c r="Q46" s="9"/>
      <c r="R46" s="32"/>
      <c r="S46" s="9">
        <v>248.286</v>
      </c>
      <c r="T46" s="9">
        <v>276.32499999999999</v>
      </c>
      <c r="U46" s="9">
        <v>310.916</v>
      </c>
      <c r="V46" s="9">
        <v>374.56599999999997</v>
      </c>
      <c r="W46" s="9">
        <v>365.55500000000001</v>
      </c>
      <c r="X46" s="9">
        <v>338.84800000000001</v>
      </c>
      <c r="Y46" s="9">
        <v>359.15100000000001</v>
      </c>
      <c r="Z46" s="9">
        <v>521.63400000000001</v>
      </c>
      <c r="AA46" s="9">
        <v>379.54399999999998</v>
      </c>
      <c r="AB46" s="9">
        <v>434.346</v>
      </c>
      <c r="AC46" s="9">
        <v>526.255</v>
      </c>
      <c r="AD46" s="9">
        <v>698.57100000000003</v>
      </c>
      <c r="AE46" s="9">
        <v>827.64800000000002</v>
      </c>
      <c r="AF46" s="9">
        <v>796.774</v>
      </c>
      <c r="AG46" s="9"/>
      <c r="AH46" s="32"/>
      <c r="AI46" s="9">
        <v>1610.577</v>
      </c>
      <c r="AJ46" s="9">
        <v>1683.229</v>
      </c>
      <c r="AK46" s="9">
        <v>1708.6120000000001</v>
      </c>
      <c r="AL46" s="9">
        <v>1800.212</v>
      </c>
      <c r="AM46" s="9">
        <v>1858.001</v>
      </c>
      <c r="AN46" s="9">
        <v>1944.4010000000001</v>
      </c>
      <c r="AO46" s="9">
        <v>2101.634</v>
      </c>
      <c r="AP46" s="9">
        <v>2246.587</v>
      </c>
      <c r="AQ46" s="9">
        <v>2295.6619999999998</v>
      </c>
      <c r="AR46" s="9">
        <v>2579.866</v>
      </c>
      <c r="AS46" s="9">
        <v>2832.9609999999998</v>
      </c>
      <c r="AT46" s="9">
        <v>3402.9450000000002</v>
      </c>
      <c r="AU46" s="9">
        <v>3380.5259999999998</v>
      </c>
      <c r="AV46" s="9">
        <v>3187.7510000000002</v>
      </c>
      <c r="AW46" s="9"/>
      <c r="AX46" s="9"/>
      <c r="AY46" s="9">
        <v>5422.451</v>
      </c>
      <c r="AZ46" s="9">
        <v>5675.1390000000001</v>
      </c>
      <c r="BA46" s="9">
        <v>5930.7479999999996</v>
      </c>
      <c r="BB46" s="9">
        <v>6366.5870000000004</v>
      </c>
      <c r="BC46" s="9">
        <v>6797.402</v>
      </c>
      <c r="BD46" s="9">
        <v>7208.9870000000001</v>
      </c>
      <c r="BE46" s="9">
        <v>7778.6849999999995</v>
      </c>
      <c r="BF46" s="9">
        <v>8423.8340000000007</v>
      </c>
      <c r="BG46" s="9">
        <v>9078.3189999999995</v>
      </c>
      <c r="BH46" s="9">
        <v>9374.2300000000014</v>
      </c>
      <c r="BI46" s="9">
        <v>10452.161</v>
      </c>
      <c r="BJ46" s="9">
        <f>11270.215+764.113</f>
        <v>12034.328</v>
      </c>
      <c r="BK46" s="9">
        <f>11620.618+868.864</f>
        <v>12489.482</v>
      </c>
      <c r="BL46" s="9">
        <f>(11546835+927469)/1000</f>
        <v>12474.304</v>
      </c>
      <c r="BM46" s="9"/>
      <c r="BN46" s="32"/>
      <c r="BO46" s="36">
        <v>40940</v>
      </c>
      <c r="BP46" s="36">
        <v>41306</v>
      </c>
      <c r="BQ46" s="36">
        <v>41671</v>
      </c>
      <c r="BR46" s="36">
        <v>42036</v>
      </c>
      <c r="BS46" s="36">
        <v>42430</v>
      </c>
      <c r="BT46" s="36">
        <v>42795</v>
      </c>
      <c r="BU46" s="36">
        <v>43160</v>
      </c>
      <c r="BV46" s="36">
        <v>43525</v>
      </c>
      <c r="BW46" s="36">
        <v>43983</v>
      </c>
      <c r="BX46" s="36">
        <v>44317</v>
      </c>
      <c r="BY46" s="36">
        <v>44682</v>
      </c>
      <c r="BZ46" s="36">
        <v>45047</v>
      </c>
      <c r="CA46" s="36">
        <v>45413</v>
      </c>
      <c r="CB46" s="36">
        <v>45778</v>
      </c>
      <c r="CC46" s="36"/>
      <c r="CD46" s="28" t="s">
        <v>128</v>
      </c>
    </row>
    <row r="47" spans="1:82" x14ac:dyDescent="0.25">
      <c r="A47" s="12" t="s">
        <v>110</v>
      </c>
      <c r="B47" s="8" t="s">
        <v>111</v>
      </c>
      <c r="C47" s="9">
        <v>642.1</v>
      </c>
      <c r="D47" s="9">
        <v>667.7</v>
      </c>
      <c r="E47" s="9">
        <v>738.5</v>
      </c>
      <c r="F47" s="9">
        <v>740.3</v>
      </c>
      <c r="G47" s="9">
        <v>793.7</v>
      </c>
      <c r="H47" s="9">
        <v>803.6</v>
      </c>
      <c r="I47" s="9">
        <v>846.9</v>
      </c>
      <c r="J47" s="9">
        <v>853.2</v>
      </c>
      <c r="K47" s="9">
        <v>909.1</v>
      </c>
      <c r="L47" s="9">
        <v>961.7</v>
      </c>
      <c r="M47" s="9">
        <v>1102.5999999999999</v>
      </c>
      <c r="N47" s="9">
        <v>1137.5</v>
      </c>
      <c r="O47" s="9">
        <v>1134.7</v>
      </c>
      <c r="P47" s="9">
        <v>1333.5</v>
      </c>
      <c r="Q47" s="9"/>
      <c r="R47" s="32"/>
      <c r="S47" s="9">
        <v>81</v>
      </c>
      <c r="T47" s="9">
        <v>96.3</v>
      </c>
      <c r="U47" s="9">
        <v>92.6</v>
      </c>
      <c r="V47" s="9">
        <v>82.4</v>
      </c>
      <c r="W47" s="9">
        <v>92.6</v>
      </c>
      <c r="X47" s="9">
        <v>98.1</v>
      </c>
      <c r="Y47" s="9">
        <v>89.6</v>
      </c>
      <c r="Z47" s="9">
        <v>97.5</v>
      </c>
      <c r="AA47" s="9">
        <v>95.1</v>
      </c>
      <c r="AB47" s="9">
        <v>120.6</v>
      </c>
      <c r="AC47" s="9">
        <v>187.4</v>
      </c>
      <c r="AD47" s="9">
        <v>181.3</v>
      </c>
      <c r="AE47" s="9">
        <v>229.2</v>
      </c>
      <c r="AF47" s="9">
        <v>248.5</v>
      </c>
      <c r="AG47" s="9"/>
      <c r="AH47" s="32"/>
      <c r="AI47" s="9">
        <v>352.7</v>
      </c>
      <c r="AJ47" s="9">
        <v>359.6</v>
      </c>
      <c r="AK47" s="9">
        <v>367.3</v>
      </c>
      <c r="AL47" s="9">
        <v>377.8</v>
      </c>
      <c r="AM47" s="9">
        <v>392.1</v>
      </c>
      <c r="AN47" s="9">
        <v>394</v>
      </c>
      <c r="AO47" s="9">
        <v>400.9</v>
      </c>
      <c r="AP47" s="9">
        <v>429.5</v>
      </c>
      <c r="AQ47" s="9">
        <v>454.6</v>
      </c>
      <c r="AR47" s="9">
        <v>507.9</v>
      </c>
      <c r="AS47" s="9">
        <v>553.70000000000005</v>
      </c>
      <c r="AT47" s="9">
        <v>576</v>
      </c>
      <c r="AU47" s="9">
        <v>606.9</v>
      </c>
      <c r="AV47" s="9">
        <v>619</v>
      </c>
      <c r="AW47" s="9"/>
      <c r="AX47" s="9"/>
      <c r="AY47" s="9">
        <v>1492</v>
      </c>
      <c r="AZ47" s="9">
        <v>1562.7</v>
      </c>
      <c r="BA47" s="9">
        <v>1644</v>
      </c>
      <c r="BB47" s="9">
        <v>1643.8</v>
      </c>
      <c r="BC47" s="9">
        <v>1737.6</v>
      </c>
      <c r="BD47" s="9">
        <v>1784.1999999999998</v>
      </c>
      <c r="BE47" s="9">
        <v>1839.9</v>
      </c>
      <c r="BF47" s="9">
        <v>1902.06</v>
      </c>
      <c r="BG47" s="9">
        <v>1986.6</v>
      </c>
      <c r="BH47" s="9">
        <v>2115.1</v>
      </c>
      <c r="BI47" s="9">
        <v>2439.6999999999998</v>
      </c>
      <c r="BJ47" s="9">
        <v>2530.1</v>
      </c>
      <c r="BK47" s="9">
        <v>2662.9</v>
      </c>
      <c r="BL47" s="9">
        <f>2745.1+146.1+63.5</f>
        <v>2954.7</v>
      </c>
      <c r="BM47" s="9"/>
      <c r="BN47" s="32"/>
      <c r="BO47" s="33">
        <v>40909</v>
      </c>
      <c r="BP47" s="33">
        <v>41275</v>
      </c>
      <c r="BQ47" s="33">
        <v>41640</v>
      </c>
      <c r="BR47" s="33">
        <v>42005</v>
      </c>
      <c r="BS47" s="33">
        <v>42370</v>
      </c>
      <c r="BT47" s="33">
        <v>42736</v>
      </c>
      <c r="BU47" s="33">
        <v>43101</v>
      </c>
      <c r="BV47" s="33">
        <v>43466</v>
      </c>
      <c r="BW47" s="33">
        <v>43831</v>
      </c>
      <c r="BX47" s="33">
        <v>44197</v>
      </c>
      <c r="BY47" s="33">
        <v>44562</v>
      </c>
      <c r="BZ47" s="33">
        <v>44927</v>
      </c>
      <c r="CA47" s="33">
        <v>45292</v>
      </c>
      <c r="CB47" s="33">
        <v>45658</v>
      </c>
      <c r="CC47" s="33"/>
      <c r="CD47" s="28" t="s">
        <v>128</v>
      </c>
    </row>
    <row r="48" spans="1:82" x14ac:dyDescent="0.25">
      <c r="A48" s="12" t="s">
        <v>112</v>
      </c>
      <c r="B48" s="8" t="s">
        <v>113</v>
      </c>
      <c r="C48" s="9">
        <v>10902.1</v>
      </c>
      <c r="D48" s="9">
        <v>11610.8</v>
      </c>
      <c r="E48" s="9">
        <v>12359</v>
      </c>
      <c r="F48" s="9">
        <v>12036.1</v>
      </c>
      <c r="G48" s="9">
        <v>13162.4</v>
      </c>
      <c r="H48" s="9">
        <v>13380.2</v>
      </c>
      <c r="I48" s="9">
        <v>14110.4</v>
      </c>
      <c r="J48" s="9">
        <v>15380.5</v>
      </c>
      <c r="K48" s="9">
        <v>16164.2</v>
      </c>
      <c r="L48" s="9">
        <v>16101.3</v>
      </c>
      <c r="M48" s="9">
        <v>17862.400000000001</v>
      </c>
      <c r="N48" s="9">
        <v>18726.8</v>
      </c>
      <c r="O48" s="9">
        <v>18100.400000000001</v>
      </c>
      <c r="P48" s="9">
        <v>21793.9</v>
      </c>
      <c r="Q48" s="9"/>
      <c r="R48" s="32"/>
      <c r="S48" s="9">
        <v>877.6</v>
      </c>
      <c r="T48" s="9">
        <v>839.8</v>
      </c>
      <c r="U48" s="9">
        <v>816.6</v>
      </c>
      <c r="V48" s="9">
        <v>771.6</v>
      </c>
      <c r="W48" s="9">
        <v>778</v>
      </c>
      <c r="X48" s="9">
        <v>824.9</v>
      </c>
      <c r="Y48" s="9">
        <v>912</v>
      </c>
      <c r="Z48" s="9">
        <v>1043.5</v>
      </c>
      <c r="AA48" s="9">
        <v>1019.2</v>
      </c>
      <c r="AB48" s="9">
        <v>1289.5999999999999</v>
      </c>
      <c r="AC48" s="9">
        <v>1737</v>
      </c>
      <c r="AD48" s="9">
        <v>1461</v>
      </c>
      <c r="AE48" s="9">
        <v>2063.8000000000002</v>
      </c>
      <c r="AF48" s="9">
        <v>1995.4</v>
      </c>
      <c r="AG48" s="9"/>
      <c r="AH48" s="32"/>
      <c r="AI48" s="9">
        <f>3153.3+579</f>
        <v>3732.3</v>
      </c>
      <c r="AJ48" s="9">
        <f>3303.5+600.2</f>
        <v>3903.7</v>
      </c>
      <c r="AK48" s="9">
        <f>3175.7+936.6</f>
        <v>4112.3</v>
      </c>
      <c r="AL48" s="9">
        <f>3292+985.3</f>
        <v>4277.3</v>
      </c>
      <c r="AM48" s="9">
        <f>3528.9+1055.4</f>
        <v>4584.3</v>
      </c>
      <c r="AN48" s="9">
        <f>3445.5+1045.2</f>
        <v>4490.7</v>
      </c>
      <c r="AO48" s="9">
        <f>3547.1+1067.8</f>
        <v>4614.8999999999996</v>
      </c>
      <c r="AP48" s="9">
        <f>3731.1+1115.5</f>
        <v>4846.6000000000004</v>
      </c>
      <c r="AQ48" s="9">
        <f>3893+1183</f>
        <v>5076</v>
      </c>
      <c r="AR48" s="9">
        <f>3705.7+1126</f>
        <v>4831.7</v>
      </c>
      <c r="AS48" s="9">
        <f>4299+1350.3</f>
        <v>5649.3</v>
      </c>
      <c r="AT48" s="9">
        <f>4876.5+1388.2</f>
        <v>6264.7</v>
      </c>
      <c r="AU48" s="9">
        <f>5400.9+1435.9</f>
        <v>6836.7999999999993</v>
      </c>
      <c r="AV48" s="9">
        <f>4987.4+1477</f>
        <v>6464.4</v>
      </c>
      <c r="AW48" s="9"/>
      <c r="AX48" s="9"/>
      <c r="AY48" s="9">
        <f>16246.5+2541.9</f>
        <v>18788.400000000001</v>
      </c>
      <c r="AZ48" s="9">
        <f>17037.1+2627.5</f>
        <v>19664.599999999999</v>
      </c>
      <c r="BA48" s="9">
        <f>17686.1+3095.8</f>
        <v>20781.899999999998</v>
      </c>
      <c r="BB48" s="9">
        <f>17459.3+3081.3</f>
        <v>20540.599999999999</v>
      </c>
      <c r="BC48" s="9">
        <f>18860.3+3458</f>
        <v>22318.3</v>
      </c>
      <c r="BD48" s="9">
        <f>19158.5+3466.1</f>
        <v>22624.6</v>
      </c>
      <c r="BE48" s="9">
        <f>20096.5+3541.3</f>
        <v>23637.8</v>
      </c>
      <c r="BF48" s="9">
        <f>21689+3577</f>
        <v>25266</v>
      </c>
      <c r="BG48" s="9">
        <f>22689.1+3819.6</f>
        <v>26508.699999999997</v>
      </c>
      <c r="BH48" s="9">
        <f>22729.4+3943.2</f>
        <v>26672.600000000002</v>
      </c>
      <c r="BI48" s="9">
        <f>25786.7+4700.6</f>
        <v>30487.300000000003</v>
      </c>
      <c r="BJ48" s="9">
        <f>26901.2+4779.7</f>
        <v>31680.9</v>
      </c>
      <c r="BK48" s="9">
        <f>28121.4+4990.2</f>
        <v>33111.599999999999</v>
      </c>
      <c r="BL48" s="9">
        <f>31406.5+5214.2</f>
        <v>36620.699999999997</v>
      </c>
      <c r="BM48" s="9"/>
      <c r="BN48" s="32"/>
      <c r="BO48" s="33">
        <v>40878</v>
      </c>
      <c r="BP48" s="33">
        <v>41244</v>
      </c>
      <c r="BQ48" s="33">
        <v>41609</v>
      </c>
      <c r="BR48" s="33">
        <v>41974</v>
      </c>
      <c r="BS48" s="33">
        <v>42339</v>
      </c>
      <c r="BT48" s="33">
        <v>42705</v>
      </c>
      <c r="BU48" s="33">
        <v>43070</v>
      </c>
      <c r="BV48" s="33">
        <v>43435</v>
      </c>
      <c r="BW48" s="33">
        <v>43800</v>
      </c>
      <c r="BX48" s="33">
        <v>44166</v>
      </c>
      <c r="BY48" s="33">
        <v>44531</v>
      </c>
      <c r="BZ48" s="33">
        <v>44896</v>
      </c>
      <c r="CA48" s="33">
        <v>45261</v>
      </c>
      <c r="CB48" s="33">
        <v>45627</v>
      </c>
      <c r="CC48" s="33"/>
      <c r="CD48" s="28" t="s">
        <v>130</v>
      </c>
    </row>
    <row r="49" spans="1:82" x14ac:dyDescent="0.25">
      <c r="A49" s="12" t="s">
        <v>114</v>
      </c>
      <c r="B49" s="8" t="s">
        <v>115</v>
      </c>
      <c r="C49" s="9" t="s">
        <v>24</v>
      </c>
      <c r="D49" s="9" t="s">
        <v>24</v>
      </c>
      <c r="E49" s="9" t="s">
        <v>24</v>
      </c>
      <c r="F49" s="9" t="s">
        <v>24</v>
      </c>
      <c r="G49" s="9" t="s">
        <v>24</v>
      </c>
      <c r="H49" s="9" t="s">
        <v>24</v>
      </c>
      <c r="I49" s="9" t="s">
        <v>24</v>
      </c>
      <c r="J49" s="9" t="s">
        <v>24</v>
      </c>
      <c r="K49" s="9" t="s">
        <v>24</v>
      </c>
      <c r="L49" s="9" t="s">
        <v>24</v>
      </c>
      <c r="M49" s="9" t="s">
        <v>24</v>
      </c>
      <c r="N49" s="9" t="s">
        <v>24</v>
      </c>
      <c r="O49" s="9" t="s">
        <v>24</v>
      </c>
      <c r="P49" s="9" t="s">
        <v>24</v>
      </c>
      <c r="Q49" s="9"/>
      <c r="R49" s="32"/>
      <c r="S49" s="9" t="s">
        <v>24</v>
      </c>
      <c r="T49" s="9" t="s">
        <v>24</v>
      </c>
      <c r="U49" s="9" t="s">
        <v>24</v>
      </c>
      <c r="V49" s="9" t="s">
        <v>24</v>
      </c>
      <c r="W49" s="9" t="s">
        <v>24</v>
      </c>
      <c r="X49" s="9" t="s">
        <v>24</v>
      </c>
      <c r="Y49" s="9" t="s">
        <v>24</v>
      </c>
      <c r="Z49" s="9" t="s">
        <v>24</v>
      </c>
      <c r="AA49" s="9" t="s">
        <v>24</v>
      </c>
      <c r="AB49" s="9" t="s">
        <v>24</v>
      </c>
      <c r="AC49" s="9" t="s">
        <v>24</v>
      </c>
      <c r="AD49" s="9" t="s">
        <v>24</v>
      </c>
      <c r="AE49" s="9" t="s">
        <v>24</v>
      </c>
      <c r="AF49" s="9" t="s">
        <v>24</v>
      </c>
      <c r="AG49" s="9"/>
      <c r="AH49" s="32"/>
      <c r="AI49" s="9">
        <f>7088.5+509.5</f>
        <v>7598</v>
      </c>
      <c r="AJ49" s="9">
        <f>7453.7+532</f>
        <v>7985.7</v>
      </c>
      <c r="AK49" s="9">
        <f>7974.6+560.4</f>
        <v>8535</v>
      </c>
      <c r="AL49" s="9">
        <f>8624.8+594.4</f>
        <v>9219.1999999999989</v>
      </c>
      <c r="AM49" s="9">
        <f>9121+634.2</f>
        <v>9755.2000000000007</v>
      </c>
      <c r="AN49" s="9">
        <f>9831.1+654.1</f>
        <v>10485.200000000001</v>
      </c>
      <c r="AO49" s="9">
        <f>10725.8+691.8</f>
        <v>11417.599999999999</v>
      </c>
      <c r="AP49" s="9">
        <f>11629.8+721.8</f>
        <v>12351.599999999999</v>
      </c>
      <c r="AQ49" s="9">
        <f>12189.2+743.8</f>
        <v>12933</v>
      </c>
      <c r="AR49" s="9">
        <f>12598.1+750.1</f>
        <v>13348.2</v>
      </c>
      <c r="AS49" s="9">
        <f>14280.1+848.7</f>
        <v>15128.800000000001</v>
      </c>
      <c r="AT49" s="9">
        <f>14826.1+891.7</f>
        <v>15717.800000000001</v>
      </c>
      <c r="AU49" s="9">
        <f>15605.3+962.4</f>
        <v>16567.7</v>
      </c>
      <c r="AV49" s="9">
        <f>15758.6+988.8</f>
        <v>16747.400000000001</v>
      </c>
      <c r="AW49" s="9"/>
      <c r="AX49" s="9"/>
      <c r="AY49" s="9">
        <v>15512.1</v>
      </c>
      <c r="AZ49" s="9">
        <v>15891.4</v>
      </c>
      <c r="BA49" s="9">
        <v>16752.599999999999</v>
      </c>
      <c r="BB49" s="9">
        <v>17790.599999999999</v>
      </c>
      <c r="BC49" s="9">
        <v>18811.599999999999</v>
      </c>
      <c r="BD49" s="9">
        <v>20012.7</v>
      </c>
      <c r="BE49" s="9">
        <v>22721.200000000001</v>
      </c>
      <c r="BF49" s="9">
        <v>24246.799999999999</v>
      </c>
      <c r="BG49" s="9">
        <v>25829.7</v>
      </c>
      <c r="BH49" s="9">
        <v>26798.799999999999</v>
      </c>
      <c r="BI49" s="9">
        <v>29552</v>
      </c>
      <c r="BJ49" s="9">
        <v>30749.3</v>
      </c>
      <c r="BK49" s="9">
        <v>32352.1</v>
      </c>
      <c r="BL49" s="9">
        <v>32863.1</v>
      </c>
      <c r="BM49" s="9"/>
      <c r="BN49" s="32"/>
      <c r="BO49" s="33">
        <v>40940</v>
      </c>
      <c r="BP49" s="33">
        <v>41334</v>
      </c>
      <c r="BQ49" s="33">
        <v>41671</v>
      </c>
      <c r="BR49" s="33">
        <v>42036</v>
      </c>
      <c r="BS49" s="33">
        <v>42401</v>
      </c>
      <c r="BT49" s="33">
        <v>42795</v>
      </c>
      <c r="BU49" s="33">
        <v>43132</v>
      </c>
      <c r="BV49" s="33">
        <v>43525</v>
      </c>
      <c r="BW49" s="33">
        <v>43862</v>
      </c>
      <c r="BX49" s="33">
        <v>44256</v>
      </c>
      <c r="BY49" s="33">
        <v>44593</v>
      </c>
      <c r="BZ49" s="33">
        <v>44986</v>
      </c>
      <c r="CA49" s="33">
        <v>45323</v>
      </c>
      <c r="CB49" s="33">
        <v>45717</v>
      </c>
      <c r="CC49" s="33"/>
      <c r="CD49" s="28" t="s">
        <v>129</v>
      </c>
    </row>
    <row r="50" spans="1:82" x14ac:dyDescent="0.25">
      <c r="A50" s="12" t="s">
        <v>116</v>
      </c>
      <c r="B50" s="8" t="s">
        <v>117</v>
      </c>
      <c r="C50" s="9">
        <v>1721.6</v>
      </c>
      <c r="D50" s="9">
        <v>1770</v>
      </c>
      <c r="E50" s="9">
        <v>1809.6</v>
      </c>
      <c r="F50" s="9">
        <v>1860.5</v>
      </c>
      <c r="G50" s="9">
        <v>1934.7</v>
      </c>
      <c r="H50" s="9">
        <v>1834</v>
      </c>
      <c r="I50" s="9">
        <v>1961</v>
      </c>
      <c r="J50" s="9">
        <v>2105</v>
      </c>
      <c r="K50" s="9">
        <v>2156.15</v>
      </c>
      <c r="L50" s="9">
        <v>2041.3</v>
      </c>
      <c r="M50" s="9">
        <v>2190</v>
      </c>
      <c r="N50" s="9">
        <v>2209.5</v>
      </c>
      <c r="O50" s="9">
        <v>2023.3</v>
      </c>
      <c r="P50" s="9">
        <v>2019.556</v>
      </c>
      <c r="Q50" s="9"/>
      <c r="R50" s="32"/>
      <c r="S50" s="9">
        <v>248.7</v>
      </c>
      <c r="T50" s="9">
        <v>231.3</v>
      </c>
      <c r="U50" s="9">
        <v>205.8</v>
      </c>
      <c r="V50" s="9">
        <v>177.5</v>
      </c>
      <c r="W50" s="9">
        <v>166</v>
      </c>
      <c r="X50" s="9">
        <v>109</v>
      </c>
      <c r="Y50" s="9">
        <v>142.1</v>
      </c>
      <c r="Z50" s="9">
        <v>136.97999999999999</v>
      </c>
      <c r="AA50" s="9">
        <v>144.5</v>
      </c>
      <c r="AB50" s="9">
        <v>160.30000000000001</v>
      </c>
      <c r="AC50" s="9">
        <v>150</v>
      </c>
      <c r="AD50" s="9">
        <v>152</v>
      </c>
      <c r="AE50" s="9">
        <v>318</v>
      </c>
      <c r="AF50" s="9">
        <v>313.5</v>
      </c>
      <c r="AG50" s="9"/>
      <c r="AH50" s="32"/>
      <c r="AI50" s="9">
        <v>1197</v>
      </c>
      <c r="AJ50" s="9">
        <v>1204</v>
      </c>
      <c r="AK50" s="9">
        <v>1266.5</v>
      </c>
      <c r="AL50" s="9">
        <v>1281.3</v>
      </c>
      <c r="AM50" s="9">
        <v>1378.8</v>
      </c>
      <c r="AN50" s="9">
        <v>1259</v>
      </c>
      <c r="AO50" s="9">
        <v>1288.5</v>
      </c>
      <c r="AP50" s="9">
        <v>1384.06</v>
      </c>
      <c r="AQ50" s="9">
        <v>1422.1</v>
      </c>
      <c r="AR50" s="9">
        <v>1473.8</v>
      </c>
      <c r="AS50" s="9">
        <v>1510.4880000000001</v>
      </c>
      <c r="AT50" s="9">
        <v>1702.3</v>
      </c>
      <c r="AU50" s="9">
        <v>1841</v>
      </c>
      <c r="AV50" s="9">
        <v>1910.7</v>
      </c>
      <c r="AW50" s="9"/>
      <c r="AX50" s="9"/>
      <c r="AY50" s="9">
        <v>4149.7510000000002</v>
      </c>
      <c r="AZ50" s="9">
        <v>4140.7510000000002</v>
      </c>
      <c r="BA50" s="9">
        <v>4271.2510000000002</v>
      </c>
      <c r="BB50" s="9">
        <v>4321.576</v>
      </c>
      <c r="BC50" s="9">
        <v>4327.7939999999999</v>
      </c>
      <c r="BD50" s="9">
        <v>4055.2</v>
      </c>
      <c r="BE50" s="9">
        <v>4356.17</v>
      </c>
      <c r="BF50" s="9">
        <v>4675.82</v>
      </c>
      <c r="BG50" s="9">
        <v>4585</v>
      </c>
      <c r="BH50" s="9">
        <v>4569.616</v>
      </c>
      <c r="BI50" s="9">
        <v>4645.424</v>
      </c>
      <c r="BJ50" s="9">
        <v>4884</v>
      </c>
      <c r="BK50" s="9">
        <v>5264.5360000000001</v>
      </c>
      <c r="BL50" s="9">
        <v>5323.1570000000002</v>
      </c>
      <c r="BM50" s="9"/>
      <c r="BN50" s="32"/>
      <c r="BO50" s="33">
        <v>40848</v>
      </c>
      <c r="BP50" s="33">
        <v>41214</v>
      </c>
      <c r="BQ50" s="33">
        <v>41579</v>
      </c>
      <c r="BR50" s="33">
        <v>41944</v>
      </c>
      <c r="BS50" s="33">
        <v>42309</v>
      </c>
      <c r="BT50" s="33">
        <v>42675</v>
      </c>
      <c r="BU50" s="33">
        <v>43040</v>
      </c>
      <c r="BV50" s="33">
        <v>43405</v>
      </c>
      <c r="BW50" s="33">
        <v>43770</v>
      </c>
      <c r="BX50" s="33">
        <v>44136</v>
      </c>
      <c r="BY50" s="33">
        <v>44501</v>
      </c>
      <c r="BZ50" s="33">
        <v>44866</v>
      </c>
      <c r="CA50" s="33">
        <v>45231</v>
      </c>
      <c r="CB50" s="33">
        <v>45597</v>
      </c>
      <c r="CC50" s="33"/>
      <c r="CD50" s="28" t="s">
        <v>128</v>
      </c>
    </row>
    <row r="51" spans="1:82" x14ac:dyDescent="0.25">
      <c r="A51" s="12" t="s">
        <v>118</v>
      </c>
      <c r="B51" s="8" t="s">
        <v>119</v>
      </c>
      <c r="C51" s="9">
        <v>7120</v>
      </c>
      <c r="D51" s="9">
        <v>7590</v>
      </c>
      <c r="E51" s="9">
        <v>7800</v>
      </c>
      <c r="F51" s="9">
        <v>7845</v>
      </c>
      <c r="G51" s="9">
        <v>8050</v>
      </c>
      <c r="H51" s="9">
        <v>8360</v>
      </c>
      <c r="I51" s="9">
        <v>8720</v>
      </c>
      <c r="J51" s="9">
        <v>9090</v>
      </c>
      <c r="K51" s="9">
        <v>9235</v>
      </c>
      <c r="L51" s="9">
        <v>9720</v>
      </c>
      <c r="M51" s="9">
        <v>9690</v>
      </c>
      <c r="N51" s="9">
        <v>9710</v>
      </c>
      <c r="O51" s="9">
        <v>9910</v>
      </c>
      <c r="P51" s="9">
        <v>11140</v>
      </c>
      <c r="Q51" s="9"/>
      <c r="R51" s="32"/>
      <c r="S51" s="9">
        <v>855</v>
      </c>
      <c r="T51" s="9">
        <v>960</v>
      </c>
      <c r="U51" s="9">
        <v>1100</v>
      </c>
      <c r="V51" s="9">
        <v>970</v>
      </c>
      <c r="W51" s="9">
        <v>1045</v>
      </c>
      <c r="X51" s="9">
        <v>940</v>
      </c>
      <c r="Y51" s="9">
        <v>960</v>
      </c>
      <c r="Z51" s="9">
        <v>1165</v>
      </c>
      <c r="AA51" s="9">
        <v>1505</v>
      </c>
      <c r="AB51" s="9">
        <v>1910</v>
      </c>
      <c r="AC51" s="9">
        <v>2585</v>
      </c>
      <c r="AD51" s="9">
        <v>2720</v>
      </c>
      <c r="AE51" s="9">
        <v>2715</v>
      </c>
      <c r="AF51" s="9">
        <v>2415</v>
      </c>
      <c r="AG51" s="9"/>
      <c r="AH51" s="32"/>
      <c r="AI51" s="9">
        <v>4365</v>
      </c>
      <c r="AJ51" s="9">
        <v>4500</v>
      </c>
      <c r="AK51" s="9">
        <v>4815</v>
      </c>
      <c r="AL51" s="9">
        <v>5030</v>
      </c>
      <c r="AM51" s="9">
        <v>5217.5</v>
      </c>
      <c r="AN51" s="9">
        <v>5370</v>
      </c>
      <c r="AO51" s="9">
        <v>5650</v>
      </c>
      <c r="AP51" s="9">
        <v>5845</v>
      </c>
      <c r="AQ51" s="9">
        <v>6010</v>
      </c>
      <c r="AR51" s="9">
        <v>6640</v>
      </c>
      <c r="AS51" s="9">
        <v>7230</v>
      </c>
      <c r="AT51" s="9">
        <v>7655</v>
      </c>
      <c r="AU51" s="9">
        <v>7810</v>
      </c>
      <c r="AV51" s="9">
        <v>8140</v>
      </c>
      <c r="AW51" s="9"/>
      <c r="AX51" s="9"/>
      <c r="AY51" s="9">
        <v>13603.5</v>
      </c>
      <c r="AZ51" s="9">
        <v>14307.5</v>
      </c>
      <c r="BA51" s="9">
        <v>15017.2</v>
      </c>
      <c r="BB51" s="9">
        <v>15146.3</v>
      </c>
      <c r="BC51" s="9">
        <v>15655.7</v>
      </c>
      <c r="BD51" s="9">
        <v>16033.4</v>
      </c>
      <c r="BE51" s="9">
        <v>16678.8</v>
      </c>
      <c r="BF51" s="9">
        <v>17434.900000000001</v>
      </c>
      <c r="BG51" s="9">
        <v>18077.5</v>
      </c>
      <c r="BH51" s="9">
        <v>19610.599999999999</v>
      </c>
      <c r="BI51" s="9">
        <v>20884.599999999999</v>
      </c>
      <c r="BJ51" s="9">
        <v>21393.8</v>
      </c>
      <c r="BK51" s="9">
        <v>21772.2</v>
      </c>
      <c r="BL51" s="9">
        <v>23012.400000000001</v>
      </c>
      <c r="BM51" s="9"/>
      <c r="BN51" s="32"/>
      <c r="BO51" s="33">
        <v>40940</v>
      </c>
      <c r="BP51" s="33">
        <v>41395</v>
      </c>
      <c r="BQ51" s="33">
        <v>41640</v>
      </c>
      <c r="BR51" s="33">
        <v>42005</v>
      </c>
      <c r="BS51" s="33">
        <v>42370</v>
      </c>
      <c r="BT51" s="33">
        <v>42736</v>
      </c>
      <c r="BU51" s="33">
        <v>43101</v>
      </c>
      <c r="BV51" s="33">
        <v>43586</v>
      </c>
      <c r="BW51" s="33">
        <v>43831</v>
      </c>
      <c r="BX51" s="33">
        <v>44348</v>
      </c>
      <c r="BY51" s="33">
        <v>44562</v>
      </c>
      <c r="BZ51" s="33">
        <v>45047</v>
      </c>
      <c r="CA51" s="33">
        <v>45292</v>
      </c>
      <c r="CB51" s="33">
        <v>45658</v>
      </c>
      <c r="CC51" s="33"/>
      <c r="CD51" s="28" t="s">
        <v>129</v>
      </c>
    </row>
    <row r="52" spans="1:82" x14ac:dyDescent="0.25">
      <c r="A52" s="12" t="s">
        <v>120</v>
      </c>
      <c r="B52" s="8" t="s">
        <v>121</v>
      </c>
      <c r="C52" s="9" t="s">
        <v>24</v>
      </c>
      <c r="D52" s="9" t="s">
        <v>24</v>
      </c>
      <c r="E52" s="9" t="s">
        <v>24</v>
      </c>
      <c r="F52" s="9" t="s">
        <v>24</v>
      </c>
      <c r="G52" s="9" t="s">
        <v>24</v>
      </c>
      <c r="H52" s="9" t="s">
        <v>24</v>
      </c>
      <c r="I52" s="9" t="s">
        <v>24</v>
      </c>
      <c r="J52" s="9" t="s">
        <v>24</v>
      </c>
      <c r="K52" s="9" t="s">
        <v>24</v>
      </c>
      <c r="L52" s="9" t="s">
        <v>24</v>
      </c>
      <c r="M52" s="9" t="s">
        <v>24</v>
      </c>
      <c r="N52" s="9" t="s">
        <v>24</v>
      </c>
      <c r="O52" s="9" t="s">
        <v>24</v>
      </c>
      <c r="P52" s="9" t="s">
        <v>24</v>
      </c>
      <c r="Q52" s="9"/>
      <c r="R52" s="32"/>
      <c r="S52" s="9" t="s">
        <v>24</v>
      </c>
      <c r="T52" s="9" t="s">
        <v>24</v>
      </c>
      <c r="U52" s="9" t="s">
        <v>24</v>
      </c>
      <c r="V52" s="9" t="s">
        <v>24</v>
      </c>
      <c r="W52" s="9" t="s">
        <v>24</v>
      </c>
      <c r="X52" s="9" t="s">
        <v>24</v>
      </c>
      <c r="Y52" s="9" t="s">
        <v>24</v>
      </c>
      <c r="Z52" s="9" t="s">
        <v>24</v>
      </c>
      <c r="AA52" s="9" t="s">
        <v>24</v>
      </c>
      <c r="AB52" s="9" t="s">
        <v>24</v>
      </c>
      <c r="AC52" s="9" t="s">
        <v>24</v>
      </c>
      <c r="AD52" s="9" t="s">
        <v>24</v>
      </c>
      <c r="AE52" s="9" t="s">
        <v>24</v>
      </c>
      <c r="AF52" s="9" t="s">
        <v>24</v>
      </c>
      <c r="AG52" s="9"/>
      <c r="AH52" s="32"/>
      <c r="AI52" s="9">
        <v>489.2</v>
      </c>
      <c r="AJ52" s="9">
        <v>507.7</v>
      </c>
      <c r="AK52" s="9">
        <v>521.29999999999995</v>
      </c>
      <c r="AL52" s="9">
        <v>545.6</v>
      </c>
      <c r="AM52" s="9">
        <v>470.5</v>
      </c>
      <c r="AN52" s="9">
        <v>420</v>
      </c>
      <c r="AO52" s="9">
        <v>444.8</v>
      </c>
      <c r="AP52" s="9">
        <v>508.3</v>
      </c>
      <c r="AQ52" s="9">
        <v>553.1</v>
      </c>
      <c r="AR52" s="9">
        <v>465.1</v>
      </c>
      <c r="AS52" s="9">
        <v>530.79999999999995</v>
      </c>
      <c r="AT52" s="9">
        <v>618</v>
      </c>
      <c r="AU52" s="9">
        <v>661.8</v>
      </c>
      <c r="AV52" s="9">
        <v>672.4</v>
      </c>
      <c r="AW52" s="9"/>
      <c r="AX52" s="9"/>
      <c r="AY52" s="9">
        <v>1023.6</v>
      </c>
      <c r="AZ52" s="9">
        <v>1067.8</v>
      </c>
      <c r="BA52" s="9">
        <v>1100</v>
      </c>
      <c r="BB52" s="9">
        <v>1103.0999999999999</v>
      </c>
      <c r="BC52" s="9">
        <v>1032.0999999999999</v>
      </c>
      <c r="BD52" s="9">
        <v>1027.9000000000001</v>
      </c>
      <c r="BE52" s="9">
        <v>1011.4</v>
      </c>
      <c r="BF52" s="9">
        <v>1218</v>
      </c>
      <c r="BG52" s="9">
        <v>1124.9000000000001</v>
      </c>
      <c r="BH52" s="9">
        <v>983.5</v>
      </c>
      <c r="BI52" s="9">
        <v>1140.5999999999999</v>
      </c>
      <c r="BJ52" s="9">
        <v>1400.8</v>
      </c>
      <c r="BK52" s="9">
        <v>1507.9</v>
      </c>
      <c r="BL52" s="9">
        <v>1496.9</v>
      </c>
      <c r="BM52" s="9"/>
      <c r="BN52" s="32"/>
      <c r="BO52" s="33">
        <v>40909</v>
      </c>
      <c r="BP52" s="33">
        <v>41275</v>
      </c>
      <c r="BQ52" s="33">
        <v>41640</v>
      </c>
      <c r="BR52" s="33">
        <v>42005</v>
      </c>
      <c r="BS52" s="33">
        <v>42370</v>
      </c>
      <c r="BT52" s="33">
        <v>42736</v>
      </c>
      <c r="BU52" s="33">
        <v>43101</v>
      </c>
      <c r="BV52" s="33">
        <v>43466</v>
      </c>
      <c r="BW52" s="33">
        <v>43831</v>
      </c>
      <c r="BX52" s="33">
        <v>44197</v>
      </c>
      <c r="BY52" s="33">
        <v>44562</v>
      </c>
      <c r="BZ52" s="33">
        <v>44938</v>
      </c>
      <c r="CA52" s="33">
        <v>45292</v>
      </c>
      <c r="CB52" s="33">
        <v>45658</v>
      </c>
      <c r="CC52" s="33"/>
      <c r="CD52" s="28" t="s">
        <v>130</v>
      </c>
    </row>
    <row r="53" spans="1:82" x14ac:dyDescent="0.25">
      <c r="A53" s="22" t="s">
        <v>122</v>
      </c>
      <c r="B53" s="23" t="s">
        <v>123</v>
      </c>
      <c r="C53" s="24">
        <f t="shared" ref="C53:P53" si="0">SUM(C3:C52)</f>
        <v>295889.75966099999</v>
      </c>
      <c r="D53" s="24">
        <f t="shared" si="0"/>
        <v>310430.37821599992</v>
      </c>
      <c r="E53" s="24">
        <f t="shared" si="0"/>
        <v>329154.9717349998</v>
      </c>
      <c r="F53" s="24">
        <f t="shared" si="0"/>
        <v>344144.30040299991</v>
      </c>
      <c r="G53" s="24">
        <f t="shared" si="0"/>
        <v>363160.44210600009</v>
      </c>
      <c r="H53" s="24">
        <f t="shared" si="0"/>
        <v>373422.80948900006</v>
      </c>
      <c r="I53" s="24">
        <f t="shared" si="0"/>
        <v>397976.5307890001</v>
      </c>
      <c r="J53" s="24">
        <f t="shared" si="0"/>
        <v>417787.97284299997</v>
      </c>
      <c r="K53" s="24">
        <f t="shared" si="0"/>
        <v>392336.68414299999</v>
      </c>
      <c r="L53" s="24">
        <f t="shared" si="0"/>
        <v>462187.34808299999</v>
      </c>
      <c r="M53" s="24">
        <f t="shared" si="0"/>
        <v>502142.88065800001</v>
      </c>
      <c r="N53" s="24">
        <f t="shared" si="0"/>
        <v>498701.82744400011</v>
      </c>
      <c r="O53" s="24">
        <f t="shared" si="0"/>
        <v>511846.45749900007</v>
      </c>
      <c r="P53" s="24">
        <f t="shared" si="0"/>
        <v>539516.52067999996</v>
      </c>
      <c r="Q53" s="24"/>
      <c r="R53" s="32"/>
      <c r="S53" s="24">
        <f t="shared" ref="S53:AF53" si="1">SUM(S3:S52)</f>
        <v>45839.484312000001</v>
      </c>
      <c r="T53" s="24">
        <f t="shared" si="1"/>
        <v>48913.899887</v>
      </c>
      <c r="U53" s="24">
        <f t="shared" si="1"/>
        <v>49774.409436999988</v>
      </c>
      <c r="V53" s="24">
        <f t="shared" si="1"/>
        <v>51150.523584999988</v>
      </c>
      <c r="W53" s="24">
        <f t="shared" si="1"/>
        <v>52168.673577999994</v>
      </c>
      <c r="X53" s="24">
        <f t="shared" si="1"/>
        <v>50879.287125999996</v>
      </c>
      <c r="Y53" s="24">
        <f t="shared" si="1"/>
        <v>53315.840642999996</v>
      </c>
      <c r="Z53" s="24">
        <f t="shared" si="1"/>
        <v>59855.411779000009</v>
      </c>
      <c r="AA53" s="24">
        <f t="shared" si="1"/>
        <v>59743.423431000003</v>
      </c>
      <c r="AB53" s="24">
        <f t="shared" si="1"/>
        <v>69732.45372900003</v>
      </c>
      <c r="AC53" s="24">
        <f t="shared" si="1"/>
        <v>124380.66836399998</v>
      </c>
      <c r="AD53" s="24">
        <f t="shared" si="1"/>
        <v>135788.49093599999</v>
      </c>
      <c r="AE53" s="24">
        <f t="shared" si="1"/>
        <v>137934.15271899998</v>
      </c>
      <c r="AF53" s="24">
        <f t="shared" si="1"/>
        <v>137030.084325</v>
      </c>
      <c r="AG53" s="24"/>
      <c r="AH53" s="32"/>
      <c r="AI53" s="24">
        <f t="shared" ref="AI53:AV53" si="2">SUM(AI3:AI52)</f>
        <v>221482.86901699999</v>
      </c>
      <c r="AJ53" s="24">
        <f t="shared" si="2"/>
        <v>232674.13008300003</v>
      </c>
      <c r="AK53" s="24">
        <f t="shared" si="2"/>
        <v>243292.06029799994</v>
      </c>
      <c r="AL53" s="24">
        <f t="shared" si="2"/>
        <v>255615.48688899996</v>
      </c>
      <c r="AM53" s="24">
        <f t="shared" si="2"/>
        <v>264665.34953900002</v>
      </c>
      <c r="AN53" s="24">
        <f t="shared" si="2"/>
        <v>267838.57060700003</v>
      </c>
      <c r="AO53" s="24">
        <f t="shared" si="2"/>
        <v>279498.95117699995</v>
      </c>
      <c r="AP53" s="24">
        <f t="shared" si="2"/>
        <v>294258.90126000001</v>
      </c>
      <c r="AQ53" s="24">
        <f t="shared" si="2"/>
        <v>285738.496415</v>
      </c>
      <c r="AR53" s="24">
        <f t="shared" si="2"/>
        <v>314245.42291100003</v>
      </c>
      <c r="AS53" s="24">
        <f t="shared" si="2"/>
        <v>354498.25781800004</v>
      </c>
      <c r="AT53" s="24">
        <f t="shared" si="2"/>
        <v>383760.43741599994</v>
      </c>
      <c r="AU53" s="24">
        <f t="shared" si="2"/>
        <v>395833.143408</v>
      </c>
      <c r="AV53" s="24">
        <f t="shared" si="2"/>
        <v>406304.58221100003</v>
      </c>
      <c r="AW53" s="24"/>
      <c r="AX53" s="24"/>
      <c r="AY53" s="24">
        <f t="shared" ref="AY53:BL53" si="3">SUM(AY3:AY52)</f>
        <v>736730.11779899977</v>
      </c>
      <c r="AZ53" s="24">
        <f t="shared" si="3"/>
        <v>768729.52228399983</v>
      </c>
      <c r="BA53" s="24">
        <f t="shared" si="3"/>
        <v>800896.70113699988</v>
      </c>
      <c r="BB53" s="24">
        <f t="shared" si="3"/>
        <v>826594.68505499978</v>
      </c>
      <c r="BC53" s="24">
        <f t="shared" si="3"/>
        <v>855201.483045</v>
      </c>
      <c r="BD53" s="24">
        <f t="shared" si="3"/>
        <v>880602.59907999972</v>
      </c>
      <c r="BE53" s="24">
        <f t="shared" si="3"/>
        <v>929850.1525000002</v>
      </c>
      <c r="BF53" s="24">
        <f t="shared" si="3"/>
        <v>973909.83524600021</v>
      </c>
      <c r="BG53" s="24">
        <f t="shared" si="3"/>
        <v>944073.30474899989</v>
      </c>
      <c r="BH53" s="24">
        <f t="shared" si="3"/>
        <v>1063941.0008750001</v>
      </c>
      <c r="BI53" s="24">
        <f t="shared" si="3"/>
        <v>1227834.106013</v>
      </c>
      <c r="BJ53" s="24">
        <f t="shared" si="3"/>
        <v>1281290.5929119999</v>
      </c>
      <c r="BK53" s="24">
        <f t="shared" si="3"/>
        <v>1316329.5570740001</v>
      </c>
      <c r="BL53" s="24">
        <f t="shared" si="3"/>
        <v>1366491.7536319997</v>
      </c>
      <c r="BM53" s="24"/>
      <c r="BN53" s="32"/>
      <c r="BO53" s="32"/>
      <c r="BP53" s="32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</row>
    <row r="55" spans="1:82" x14ac:dyDescent="0.25">
      <c r="BL55" s="1"/>
      <c r="BM55" s="1"/>
    </row>
    <row r="57" spans="1:82" x14ac:dyDescent="0.25">
      <c r="BC57" s="49"/>
      <c r="BD57" s="49"/>
      <c r="BE57" s="49"/>
      <c r="BF57" s="49"/>
      <c r="BG57" s="49"/>
      <c r="BH57" s="11"/>
    </row>
    <row r="58" spans="1:82" x14ac:dyDescent="0.25">
      <c r="J58" s="48"/>
      <c r="K58" s="48"/>
      <c r="R58" s="2"/>
      <c r="S58" s="2"/>
      <c r="T58" s="2"/>
      <c r="Y58" s="39"/>
      <c r="Z58" s="48"/>
      <c r="AA58" s="48"/>
      <c r="AH58" s="2"/>
      <c r="AI58" s="2"/>
      <c r="AJ58" s="2"/>
      <c r="AO58" s="39"/>
      <c r="AP58" s="48"/>
      <c r="AQ58" s="48"/>
      <c r="AY58" s="2"/>
      <c r="AZ58" s="2"/>
      <c r="BC58" s="49"/>
      <c r="BD58" s="49"/>
      <c r="BE58" s="49"/>
      <c r="BF58" s="49"/>
      <c r="BG58" s="49"/>
      <c r="BH58" s="11"/>
      <c r="BN58" s="2"/>
      <c r="BO58" s="2"/>
      <c r="BP58" s="2"/>
      <c r="BQ58" s="2"/>
      <c r="BU58" s="28"/>
      <c r="CD58" s="2"/>
    </row>
    <row r="59" spans="1:82" x14ac:dyDescent="0.25">
      <c r="O59" s="50"/>
      <c r="P59" s="50"/>
      <c r="Q59" s="50"/>
      <c r="BC59" s="49"/>
      <c r="BD59" s="49"/>
      <c r="BE59" s="49"/>
      <c r="BF59" s="49"/>
      <c r="BG59" s="49"/>
      <c r="BH59" s="11"/>
    </row>
    <row r="60" spans="1:82" x14ac:dyDescent="0.25">
      <c r="O60" s="50"/>
      <c r="P60" s="50"/>
      <c r="Q60" s="50"/>
    </row>
    <row r="61" spans="1:82" x14ac:dyDescent="0.25">
      <c r="O61" s="50"/>
      <c r="P61" s="50"/>
      <c r="Q61" s="50"/>
    </row>
  </sheetData>
  <hyperlinks>
    <hyperlink ref="A15" r:id="rId1" xr:uid="{AC6CDD41-9293-492E-B285-E4F74FB45535}"/>
    <hyperlink ref="A24" r:id="rId2" xr:uid="{631EBF00-DAAB-4A0F-B92A-DE194541B251}"/>
    <hyperlink ref="A3" r:id="rId3" xr:uid="{51132886-FBC6-448E-A2E9-7B47CF1929E3}"/>
    <hyperlink ref="A10" r:id="rId4" xr:uid="{F5E85237-A748-4582-B8EF-6733F0D5691D}"/>
    <hyperlink ref="A29" r:id="rId5" xr:uid="{EDBB1D7A-60EB-4DAA-B0EA-4AE42138DE5D}"/>
    <hyperlink ref="A32" r:id="rId6" xr:uid="{F9A9E727-3ECB-44CC-9271-14B021959A95}"/>
    <hyperlink ref="A19" r:id="rId7" xr:uid="{DFA7BA7D-C5EB-487A-8CDC-248E763CC89C}"/>
    <hyperlink ref="A33" r:id="rId8" xr:uid="{13CC104D-BA0E-4198-B1D6-70FE95764EBC}"/>
    <hyperlink ref="A13" r:id="rId9" xr:uid="{12268DB5-79A8-4A3B-ACF1-E5ABC64AC46F}"/>
    <hyperlink ref="A17" r:id="rId10" xr:uid="{52C63DED-D4E8-42BB-A9C6-02097366D662}"/>
    <hyperlink ref="A21" r:id="rId11" xr:uid="{164DDB7F-DA7E-4637-B725-734E3A8C4CB9}"/>
    <hyperlink ref="A50" r:id="rId12" xr:uid="{E03EAD91-4023-4700-B9CA-9E9D7D978799}"/>
    <hyperlink ref="A26" r:id="rId13" xr:uid="{1AC6C32F-56B3-412C-BB72-F34F7ABE6B4D}"/>
    <hyperlink ref="A36" r:id="rId14" xr:uid="{EF7D32D3-4F47-41B2-8738-B52D83470B31}"/>
    <hyperlink ref="A11" r:id="rId15" xr:uid="{F9AF0C64-2DA0-4637-8281-FEE5CF9CB23C}"/>
    <hyperlink ref="A9" r:id="rId16" xr:uid="{0269C86E-605E-4302-9AC9-DBAFB124B907}"/>
    <hyperlink ref="A35" r:id="rId17" xr:uid="{3D50242D-1CFA-4499-B435-331F119C06FA}"/>
    <hyperlink ref="A5" r:id="rId18" xr:uid="{1FAC85B7-1D76-41A5-A360-A23EB0187400}"/>
    <hyperlink ref="A7" r:id="rId19" xr:uid="{A193D1B1-6DD5-4D8F-B280-B993B55DD819}"/>
    <hyperlink ref="A23" r:id="rId20" xr:uid="{E53B528B-9055-4743-912B-6581F7E7CA82}"/>
    <hyperlink ref="A25" r:id="rId21" xr:uid="{3DD56B53-7B05-4DF7-A0DA-D98712B86F11}"/>
    <hyperlink ref="A27" r:id="rId22" xr:uid="{9E36EFBE-9224-4EA4-B3C9-142EE256061B}"/>
    <hyperlink ref="A16" r:id="rId23" xr:uid="{23ECD87F-6F19-4A27-A397-3296E0461499}"/>
    <hyperlink ref="A34" r:id="rId24" xr:uid="{0531A242-FF74-44CA-A648-51DED50118ED}"/>
    <hyperlink ref="A38" r:id="rId25" xr:uid="{63565AB5-3FB4-47B6-A182-87001637A324}"/>
    <hyperlink ref="A39" r:id="rId26" xr:uid="{DE6CD52C-5E02-45B9-B54A-715D25B898AD}"/>
    <hyperlink ref="A41" r:id="rId27" location="section1" xr:uid="{B7352DC7-0D62-463F-8D0E-95175500C07C}"/>
    <hyperlink ref="A42" r:id="rId28" xr:uid="{53A86C5C-2842-455E-A4EF-5417EA0EC10B}"/>
    <hyperlink ref="A45" r:id="rId29" xr:uid="{799F65A1-93A3-458A-A90E-21499B6C51BA}"/>
    <hyperlink ref="A47" r:id="rId30" xr:uid="{D6727760-44BF-493B-A29B-9CF4E9875010}"/>
    <hyperlink ref="A48" r:id="rId31" xr:uid="{D56329A5-737B-4D90-82BB-DAD0988AA352}"/>
    <hyperlink ref="A52" r:id="rId32" xr:uid="{4953866B-23B4-461C-970B-FBF224384A5E}"/>
    <hyperlink ref="A51" r:id="rId33" xr:uid="{4C95BF64-505F-439B-96D2-495C2E210D2C}"/>
    <hyperlink ref="A44" r:id="rId34" xr:uid="{CDD2C56D-EB36-488D-AE82-49AD18C09CC6}"/>
    <hyperlink ref="A18" r:id="rId35" xr:uid="{090EBB62-277D-4FC2-9367-293000AD8B7B}"/>
    <hyperlink ref="A20" r:id="rId36" xr:uid="{F1E6C688-8D8E-408D-A980-2CB06E16687F}"/>
    <hyperlink ref="A4" r:id="rId37" xr:uid="{831092A2-67C1-4E95-A5A8-94F03B0EF6EE}"/>
    <hyperlink ref="A30" r:id="rId38" xr:uid="{19F409DC-B965-48B3-A722-FF727D190E85}"/>
    <hyperlink ref="A31" r:id="rId39" xr:uid="{56B000D6-6EB6-4D2E-AC00-7DF4EDE9BD74}"/>
    <hyperlink ref="A49" r:id="rId40" xr:uid="{2FE09084-4A5C-469A-B88B-11E1D4BD84BF}"/>
    <hyperlink ref="A43" r:id="rId41" xr:uid="{64283AB0-842D-4E54-9CB1-8F3930022E0B}"/>
    <hyperlink ref="A6" r:id="rId42" xr:uid="{621600AE-C1C8-40D2-9AAC-BF7729598D30}"/>
    <hyperlink ref="A12" r:id="rId43" xr:uid="{773D0E0A-105F-4735-9880-215537785C6C}"/>
    <hyperlink ref="A37" r:id="rId44" xr:uid="{F7325A50-E4FF-456A-8AE5-52B7469D7249}"/>
    <hyperlink ref="A22" r:id="rId45" xr:uid="{37A31F7B-F8CA-4A93-90EA-430B5FAA2AD3}"/>
    <hyperlink ref="A28" r:id="rId46" xr:uid="{CB3D3172-C136-437E-95A3-BE6C5125B933}"/>
    <hyperlink ref="A46" r:id="rId47" xr:uid="{F466C961-5E7C-4DEC-8D38-E94BE84D079A}"/>
    <hyperlink ref="A14" r:id="rId48" xr:uid="{E237219A-6782-4747-B0D1-5338AA7950E2}"/>
    <hyperlink ref="A40" r:id="rId49" xr:uid="{85B9EE02-B1D9-4136-BAEA-4387284AEA5D}"/>
    <hyperlink ref="A8" r:id="rId50" xr:uid="{67C70914-3BEA-4C52-A1E9-31954C008E00}"/>
  </hyperlinks>
  <pageMargins left="0.7" right="0.7" top="0.75" bottom="0.75" header="0.3" footer="0.3"/>
  <pageSetup orientation="portrait"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6A39-E4A9-462B-A09A-BFE0BFF4BF51}">
  <sheetPr>
    <tabColor rgb="FF00B050"/>
  </sheetPr>
  <dimension ref="A1:CR76"/>
  <sheetViews>
    <sheetView tabSelected="1" zoomScaleNormal="100" zoomScaleSheetLayoutView="100" workbookViewId="0">
      <pane xSplit="2" ySplit="2" topLeftCell="P27" activePane="bottomRight" state="frozen"/>
      <selection activeCell="C3" sqref="C3"/>
      <selection pane="topRight" activeCell="C3" sqref="C3"/>
      <selection pane="bottomLeft" activeCell="C3" sqref="C3"/>
      <selection pane="bottomRight" activeCell="AQ67" sqref="AQ67"/>
    </sheetView>
  </sheetViews>
  <sheetFormatPr defaultColWidth="9.125" defaultRowHeight="13.6" x14ac:dyDescent="0.25"/>
  <cols>
    <col min="1" max="1" width="13.625" style="2" customWidth="1"/>
    <col min="2" max="2" width="5.625" style="2" customWidth="1"/>
    <col min="3" max="7" width="10.875" style="28" customWidth="1"/>
    <col min="8" max="9" width="10.875" style="2" customWidth="1"/>
    <col min="10" max="13" width="10.875" style="28" customWidth="1"/>
    <col min="14" max="15" width="10.875" style="2" customWidth="1"/>
    <col min="16" max="19" width="10.875" style="28" customWidth="1"/>
    <col min="20" max="21" width="10.875" style="2" customWidth="1"/>
    <col min="22" max="25" width="10.875" style="28" customWidth="1"/>
    <col min="26" max="26" width="10.875" style="2" customWidth="1"/>
    <col min="27" max="27" width="24.125" style="2" customWidth="1"/>
    <col min="28" max="28" width="17.375" style="2" customWidth="1"/>
    <col min="29" max="29" width="9.125" style="81"/>
    <col min="30" max="50" width="9.125" style="2"/>
    <col min="51" max="51" width="7.5" style="2" customWidth="1"/>
    <col min="52" max="52" width="5.625" style="2" customWidth="1"/>
    <col min="53" max="54" width="9.125" style="2"/>
    <col min="55" max="55" width="5.625" style="2" customWidth="1"/>
    <col min="56" max="57" width="9.125" style="2"/>
    <col min="58" max="58" width="5.625" style="2" customWidth="1"/>
    <col min="59" max="60" width="9.125" style="2"/>
    <col min="61" max="61" width="5.625" style="2" customWidth="1"/>
    <col min="62" max="63" width="9.125" style="2"/>
    <col min="64" max="64" width="5.625" style="2" customWidth="1"/>
    <col min="65" max="66" width="9.125" style="2"/>
    <col min="67" max="67" width="5.625" style="2" customWidth="1"/>
    <col min="68" max="16384" width="9.125" style="2"/>
  </cols>
  <sheetData>
    <row r="1" spans="1:96" s="28" customFormat="1" x14ac:dyDescent="0.25">
      <c r="A1" s="1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/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/>
      <c r="O1" s="3" t="s">
        <v>3</v>
      </c>
      <c r="P1" s="3" t="s">
        <v>3</v>
      </c>
      <c r="Q1" s="3" t="s">
        <v>3</v>
      </c>
      <c r="R1" s="3" t="s">
        <v>3</v>
      </c>
      <c r="S1" s="3" t="s">
        <v>3</v>
      </c>
      <c r="T1" s="3"/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/>
      <c r="AC1" s="51" t="s">
        <v>0</v>
      </c>
      <c r="AD1" s="3" t="s">
        <v>1</v>
      </c>
      <c r="AE1" s="3" t="s">
        <v>1</v>
      </c>
      <c r="AF1" s="3" t="s">
        <v>1</v>
      </c>
      <c r="AG1" s="3" t="s">
        <v>1</v>
      </c>
      <c r="AI1" s="3" t="s">
        <v>2</v>
      </c>
      <c r="AJ1" s="3" t="s">
        <v>2</v>
      </c>
      <c r="AK1" s="3" t="s">
        <v>2</v>
      </c>
      <c r="AL1" s="3" t="s">
        <v>2</v>
      </c>
      <c r="AN1" s="3" t="s">
        <v>3</v>
      </c>
      <c r="AO1" s="3" t="s">
        <v>3</v>
      </c>
      <c r="AP1" s="3" t="s">
        <v>3</v>
      </c>
      <c r="AQ1" s="3" t="s">
        <v>3</v>
      </c>
      <c r="AS1" s="3" t="s">
        <v>4</v>
      </c>
      <c r="AT1" s="3" t="s">
        <v>4</v>
      </c>
      <c r="AU1" s="3" t="s">
        <v>4</v>
      </c>
      <c r="AV1" s="3" t="s">
        <v>4</v>
      </c>
      <c r="AW1" s="3"/>
      <c r="AX1" s="3"/>
      <c r="AY1" s="3"/>
      <c r="BA1" s="3" t="s">
        <v>4</v>
      </c>
      <c r="BB1" s="3"/>
      <c r="BD1" s="3" t="s">
        <v>4</v>
      </c>
      <c r="BE1" s="3"/>
      <c r="BG1" s="3" t="s">
        <v>1</v>
      </c>
      <c r="BH1" s="3"/>
      <c r="BJ1" s="3" t="s">
        <v>1</v>
      </c>
      <c r="BK1" s="3"/>
      <c r="BM1" s="3" t="s">
        <v>3</v>
      </c>
      <c r="BN1" s="3"/>
      <c r="BP1" s="3" t="s">
        <v>3</v>
      </c>
      <c r="BU1" s="25"/>
      <c r="BV1" s="25"/>
      <c r="BW1" s="25"/>
      <c r="BX1" s="25"/>
      <c r="BY1" s="25"/>
      <c r="BZ1" s="25"/>
      <c r="CA1" s="25"/>
      <c r="CB1" s="25"/>
      <c r="CE1" s="52" t="s">
        <v>131</v>
      </c>
      <c r="CF1" s="52" t="s">
        <v>131</v>
      </c>
      <c r="CG1" s="52" t="s">
        <v>131</v>
      </c>
      <c r="CH1" s="52" t="s">
        <v>131</v>
      </c>
      <c r="CK1" s="3" t="s">
        <v>132</v>
      </c>
      <c r="CL1" s="3" t="s">
        <v>132</v>
      </c>
      <c r="CN1" s="3" t="s">
        <v>133</v>
      </c>
      <c r="CO1" s="3" t="s">
        <v>133</v>
      </c>
      <c r="CQ1" s="3" t="s">
        <v>134</v>
      </c>
      <c r="CR1" s="3" t="s">
        <v>134</v>
      </c>
    </row>
    <row r="2" spans="1:96" s="6" customFormat="1" ht="27" customHeight="1" x14ac:dyDescent="0.25">
      <c r="A2" s="4" t="s">
        <v>5</v>
      </c>
      <c r="B2" s="5" t="s">
        <v>6</v>
      </c>
      <c r="C2" s="6" t="s">
        <v>17</v>
      </c>
      <c r="D2" s="6" t="s">
        <v>18</v>
      </c>
      <c r="E2" s="6" t="s">
        <v>19</v>
      </c>
      <c r="F2" s="6" t="s">
        <v>135</v>
      </c>
      <c r="G2" s="6" t="s">
        <v>136</v>
      </c>
      <c r="I2" s="6" t="s">
        <v>17</v>
      </c>
      <c r="J2" s="6" t="s">
        <v>18</v>
      </c>
      <c r="K2" s="6" t="s">
        <v>19</v>
      </c>
      <c r="L2" s="6" t="s">
        <v>135</v>
      </c>
      <c r="M2" s="6" t="s">
        <v>136</v>
      </c>
      <c r="O2" s="6" t="s">
        <v>17</v>
      </c>
      <c r="P2" s="6" t="s">
        <v>18</v>
      </c>
      <c r="Q2" s="6" t="s">
        <v>19</v>
      </c>
      <c r="R2" s="6" t="s">
        <v>135</v>
      </c>
      <c r="S2" s="6" t="s">
        <v>136</v>
      </c>
      <c r="U2" s="6" t="s">
        <v>17</v>
      </c>
      <c r="V2" s="6" t="s">
        <v>18</v>
      </c>
      <c r="W2" s="6" t="s">
        <v>19</v>
      </c>
      <c r="X2" s="6" t="s">
        <v>135</v>
      </c>
      <c r="Y2" s="6" t="s">
        <v>136</v>
      </c>
      <c r="Z2" s="6" t="s">
        <v>137</v>
      </c>
      <c r="AA2" s="6" t="s">
        <v>138</v>
      </c>
      <c r="AB2" s="53"/>
      <c r="AC2" s="53" t="s">
        <v>5</v>
      </c>
      <c r="AD2" s="6" t="s">
        <v>139</v>
      </c>
      <c r="AE2" s="6" t="s">
        <v>140</v>
      </c>
      <c r="AF2" s="6" t="s">
        <v>141</v>
      </c>
      <c r="AG2" s="6" t="s">
        <v>142</v>
      </c>
      <c r="AI2" s="6" t="s">
        <v>139</v>
      </c>
      <c r="AJ2" s="6" t="s">
        <v>140</v>
      </c>
      <c r="AK2" s="6" t="s">
        <v>141</v>
      </c>
      <c r="AL2" s="6" t="s">
        <v>142</v>
      </c>
      <c r="AN2" s="6" t="s">
        <v>139</v>
      </c>
      <c r="AO2" s="6" t="s">
        <v>140</v>
      </c>
      <c r="AP2" s="6" t="s">
        <v>141</v>
      </c>
      <c r="AQ2" s="6" t="s">
        <v>142</v>
      </c>
      <c r="AS2" s="6" t="s">
        <v>139</v>
      </c>
      <c r="AT2" s="6" t="s">
        <v>140</v>
      </c>
      <c r="AU2" s="6" t="s">
        <v>141</v>
      </c>
      <c r="AV2" s="6" t="s">
        <v>142</v>
      </c>
      <c r="AZ2" s="5" t="s">
        <v>6</v>
      </c>
      <c r="BA2" s="6" t="s">
        <v>141</v>
      </c>
      <c r="BC2" s="5" t="s">
        <v>6</v>
      </c>
      <c r="BD2" s="6" t="s">
        <v>142</v>
      </c>
      <c r="BF2" s="5" t="s">
        <v>6</v>
      </c>
      <c r="BG2" s="6" t="s">
        <v>141</v>
      </c>
      <c r="BI2" s="5" t="s">
        <v>6</v>
      </c>
      <c r="BJ2" s="6" t="s">
        <v>142</v>
      </c>
      <c r="BL2" s="5" t="s">
        <v>6</v>
      </c>
      <c r="BM2" s="6" t="s">
        <v>141</v>
      </c>
      <c r="BO2" s="5" t="s">
        <v>6</v>
      </c>
      <c r="BP2" s="6" t="s">
        <v>142</v>
      </c>
      <c r="BS2" s="6" t="s">
        <v>8</v>
      </c>
      <c r="BT2" s="6" t="s">
        <v>9</v>
      </c>
      <c r="BU2" s="6" t="s">
        <v>10</v>
      </c>
      <c r="BV2" s="6" t="s">
        <v>11</v>
      </c>
      <c r="BW2" s="6" t="s">
        <v>12</v>
      </c>
      <c r="BX2" s="6" t="s">
        <v>13</v>
      </c>
      <c r="BY2" s="6" t="s">
        <v>14</v>
      </c>
      <c r="BZ2" s="6" t="s">
        <v>15</v>
      </c>
      <c r="CA2" s="6" t="s">
        <v>16</v>
      </c>
      <c r="CB2" s="6" t="s">
        <v>17</v>
      </c>
      <c r="CC2" s="6" t="s">
        <v>18</v>
      </c>
      <c r="CD2" s="6" t="s">
        <v>19</v>
      </c>
      <c r="CE2" s="54" t="s">
        <v>18</v>
      </c>
      <c r="CF2" s="54" t="s">
        <v>19</v>
      </c>
      <c r="CG2" s="54" t="s">
        <v>143</v>
      </c>
      <c r="CH2" s="54" t="s">
        <v>144</v>
      </c>
      <c r="CJ2" s="54"/>
      <c r="CK2" s="54" t="s">
        <v>145</v>
      </c>
      <c r="CL2" s="54" t="s">
        <v>146</v>
      </c>
      <c r="CN2" s="54" t="s">
        <v>145</v>
      </c>
      <c r="CO2" s="54" t="s">
        <v>146</v>
      </c>
      <c r="CQ2" s="54" t="s">
        <v>145</v>
      </c>
      <c r="CR2" s="54" t="s">
        <v>146</v>
      </c>
    </row>
    <row r="3" spans="1:96" ht="13.75" customHeight="1" x14ac:dyDescent="0.25">
      <c r="A3" s="7" t="s">
        <v>20</v>
      </c>
      <c r="B3" s="55" t="s">
        <v>21</v>
      </c>
      <c r="C3" s="9">
        <f>Actual!M3</f>
        <v>7032.0939319999998</v>
      </c>
      <c r="D3" s="9">
        <f>Actual!N3</f>
        <v>7267.1289260000003</v>
      </c>
      <c r="E3" s="9">
        <f>Actual!O3</f>
        <v>7495.1795410000004</v>
      </c>
      <c r="F3" s="9">
        <v>7707.009677</v>
      </c>
      <c r="G3" s="9">
        <v>7904.8090549999997</v>
      </c>
      <c r="I3" s="9">
        <f>Actual!AA3</f>
        <v>103.45025800000001</v>
      </c>
      <c r="J3" s="9">
        <f>Actual!AB3</f>
        <v>103.545858</v>
      </c>
      <c r="K3" s="9">
        <f>Actual!AC3</f>
        <v>103.32133</v>
      </c>
      <c r="L3" s="9">
        <v>118.228095</v>
      </c>
      <c r="M3" s="9">
        <v>118.144983</v>
      </c>
      <c r="O3" s="9">
        <f>Actual!AO3</f>
        <v>3446.0095670000001</v>
      </c>
      <c r="P3" s="9">
        <f>Actual!AP3</f>
        <v>3422.3503139999998</v>
      </c>
      <c r="Q3" s="9">
        <f>Actual!AQ3</f>
        <v>3519.3318629999999</v>
      </c>
      <c r="R3" s="9">
        <v>3432.6001580000002</v>
      </c>
      <c r="S3" s="9">
        <v>3491.6120430000001</v>
      </c>
      <c r="T3" s="9"/>
      <c r="U3" s="9">
        <f>Actual!BD3</f>
        <v>13621.779372000001</v>
      </c>
      <c r="V3" s="9">
        <f>Actual!BE3</f>
        <v>14050.105444999999</v>
      </c>
      <c r="W3" s="9">
        <f>Actual!BF3</f>
        <v>14470.872982000001</v>
      </c>
      <c r="X3" s="9">
        <v>14547.141911000001</v>
      </c>
      <c r="Y3" s="9">
        <v>14658.050975</v>
      </c>
      <c r="Z3" s="56">
        <v>46037</v>
      </c>
      <c r="AA3" s="2" t="s">
        <v>147</v>
      </c>
      <c r="AC3" s="57" t="s">
        <v>20</v>
      </c>
      <c r="AD3" s="58">
        <f>(D3-C3)/C3*100</f>
        <v>3.3423187499026223</v>
      </c>
      <c r="AE3" s="58">
        <f>(E3-D3)/D3*100</f>
        <v>3.1381115888021625</v>
      </c>
      <c r="AF3" s="58">
        <f>(F3-E3)/E3*100</f>
        <v>2.8262183025936882</v>
      </c>
      <c r="AG3" s="58">
        <f>(G3-F3)/F3*100</f>
        <v>2.5664866957451951</v>
      </c>
      <c r="AH3" s="58"/>
      <c r="AI3" s="59">
        <f t="shared" ref="AI3:AL5" si="0">(J3-I3)/I3*100</f>
        <v>9.2411562666175617E-2</v>
      </c>
      <c r="AJ3" s="59">
        <f t="shared" si="0"/>
        <v>-0.21683919022622064</v>
      </c>
      <c r="AK3" s="59">
        <f t="shared" si="0"/>
        <v>14.42757753892637</v>
      </c>
      <c r="AL3" s="59">
        <f t="shared" si="0"/>
        <v>-7.029801165281388E-2</v>
      </c>
      <c r="AN3" s="59">
        <f>(P3-O3)/O3*100</f>
        <v>-0.68656956807573077</v>
      </c>
      <c r="AO3" s="59">
        <f>(Q3-P3)/P3*100</f>
        <v>2.8337703654495052</v>
      </c>
      <c r="AP3" s="59">
        <f>(R3-Q3)/Q3*100</f>
        <v>-2.4644366708306555</v>
      </c>
      <c r="AQ3" s="59">
        <f>(S3-R3)/R3*100</f>
        <v>1.7191598870747324</v>
      </c>
      <c r="AS3" s="59">
        <f t="shared" ref="AS3:AV5" si="1">(V3-U3)/U3*100</f>
        <v>3.1444208667807096</v>
      </c>
      <c r="AT3" s="59">
        <f t="shared" si="1"/>
        <v>2.9947642645610162</v>
      </c>
      <c r="AU3" s="59">
        <f t="shared" si="1"/>
        <v>0.52705133335679943</v>
      </c>
      <c r="AV3" s="59">
        <f t="shared" si="1"/>
        <v>0.76241137041589069</v>
      </c>
      <c r="AW3" s="59"/>
      <c r="AX3" s="60"/>
      <c r="AY3" s="8"/>
      <c r="AZ3" s="8" t="s">
        <v>121</v>
      </c>
      <c r="BA3" s="59">
        <v>-25.021390983674642</v>
      </c>
      <c r="BB3" s="59"/>
      <c r="BC3" s="55" t="s">
        <v>23</v>
      </c>
      <c r="BD3" s="59">
        <v>-12.331682194524424</v>
      </c>
      <c r="BE3" s="59"/>
      <c r="BF3" s="8" t="s">
        <v>57</v>
      </c>
      <c r="BG3" s="58">
        <v>-16.268193448261396</v>
      </c>
      <c r="BH3" s="59"/>
      <c r="BI3" s="8" t="s">
        <v>69</v>
      </c>
      <c r="BJ3" s="59">
        <v>-4.5863636363636404</v>
      </c>
      <c r="BK3" s="61"/>
      <c r="BL3" s="8" t="s">
        <v>109</v>
      </c>
      <c r="BM3" s="59">
        <v>-6.0539140270830147</v>
      </c>
      <c r="BN3" s="59"/>
      <c r="BO3" s="8" t="s">
        <v>57</v>
      </c>
      <c r="BP3" s="59">
        <v>0.19611108027602547</v>
      </c>
      <c r="BR3" s="2" t="s">
        <v>148</v>
      </c>
      <c r="BS3" s="62">
        <f>(Actual!D53-Actual!C53)/Actual!C53</f>
        <v>1.1695408350057179E-2</v>
      </c>
      <c r="BT3" s="62">
        <f>(Actual!E53-Actual!D53)/Actual!D53</f>
        <v>7.5352693948417024E-2</v>
      </c>
      <c r="BU3" s="62">
        <f>(Actual!F53-Actual!E53)/Actual!E53</f>
        <v>2.4839826748931839E-2</v>
      </c>
      <c r="BV3" s="62">
        <f>(Actual!G53-Actual!F53)/Actual!F53</f>
        <v>3.0501531404324139E-2</v>
      </c>
      <c r="BW3" s="62">
        <f>(Actual!H53-Actual!G53)/Actual!G53</f>
        <v>0.10467884045135532</v>
      </c>
      <c r="BX3" s="62">
        <f>(Actual!I53-Actual!H53)/Actual!H53</f>
        <v>3.8636065226931283E-2</v>
      </c>
      <c r="BY3" s="62">
        <f>(Actual!J53-Actual!I53)/Actual!I53</f>
        <v>-3.6251370853604531E-3</v>
      </c>
      <c r="BZ3" s="62">
        <f>(Actual!K53-Actual!J53)/Actual!J53</f>
        <v>0.19623877805735279</v>
      </c>
      <c r="CA3" s="62">
        <f>(Actual!L53-Actual!K53)/Actual!K53</f>
        <v>0.14181138058984499</v>
      </c>
      <c r="CB3" s="62">
        <f>(Actual!M53-Actual!L53)/Actual!L53</f>
        <v>-0.12085309463649137</v>
      </c>
      <c r="CC3" s="62">
        <f>(Actual!N53-Actual!M53)/Actual!M53</f>
        <v>1.2769366018905397E-2</v>
      </c>
      <c r="CD3" s="62">
        <f>(E53-D53)/D53</f>
        <v>9.1941729825763527E-2</v>
      </c>
      <c r="CE3" s="63">
        <f>AD54/100</f>
        <v>3.0810990602028639E-3</v>
      </c>
      <c r="CF3" s="63">
        <f>AE54/100</f>
        <v>7.3010461827299603E-2</v>
      </c>
      <c r="CG3" s="63">
        <f>AF54/100</f>
        <v>3.7566952821189971E-2</v>
      </c>
      <c r="CH3" s="63">
        <f>AG54/100</f>
        <v>2.6160919540229931E-2</v>
      </c>
      <c r="CJ3" s="64" t="s">
        <v>1</v>
      </c>
      <c r="CK3" s="63">
        <f>AE53/100</f>
        <v>9.7761687909422718E-2</v>
      </c>
      <c r="CL3" s="63">
        <f>AE54/100</f>
        <v>7.3010461827299603E-2</v>
      </c>
      <c r="CN3" s="63">
        <f>AF53/100</f>
        <v>4.5482671459774145E-2</v>
      </c>
      <c r="CO3" s="63">
        <f>AF54/100</f>
        <v>3.7566952821189971E-2</v>
      </c>
      <c r="CQ3" s="63">
        <f>AG53/100</f>
        <v>3.7261505290781011E-2</v>
      </c>
      <c r="CR3" s="63">
        <f>AG54/100</f>
        <v>2.6160919540229931E-2</v>
      </c>
    </row>
    <row r="4" spans="1:96" ht="13.75" customHeight="1" x14ac:dyDescent="0.25">
      <c r="A4" s="12" t="s">
        <v>22</v>
      </c>
      <c r="B4" s="55" t="s">
        <v>23</v>
      </c>
      <c r="C4" s="9" t="str">
        <f>Actual!M4</f>
        <v>N/A</v>
      </c>
      <c r="D4" s="9" t="str">
        <f>Actual!N4</f>
        <v>N/A</v>
      </c>
      <c r="E4" s="9" t="str">
        <f>Actual!O4</f>
        <v>N/A</v>
      </c>
      <c r="F4" s="9" t="s">
        <v>24</v>
      </c>
      <c r="G4" s="9" t="s">
        <v>24</v>
      </c>
      <c r="I4" s="9">
        <f>Actual!AA4</f>
        <v>124.4</v>
      </c>
      <c r="J4" s="9">
        <f>Actual!AB4</f>
        <v>177.2</v>
      </c>
      <c r="K4" s="9">
        <f>Actual!AC4</f>
        <v>228.7</v>
      </c>
      <c r="L4" s="9">
        <v>215</v>
      </c>
      <c r="M4" s="9">
        <v>250</v>
      </c>
      <c r="O4" s="9" t="str">
        <f>Actual!AO4</f>
        <v>N/A</v>
      </c>
      <c r="P4" s="9" t="str">
        <f>Actual!AP4</f>
        <v>N/A</v>
      </c>
      <c r="Q4" s="9" t="str">
        <f>Actual!AQ4</f>
        <v>N/A</v>
      </c>
      <c r="R4" s="9" t="s">
        <v>24</v>
      </c>
      <c r="S4" s="9" t="s">
        <v>24</v>
      </c>
      <c r="T4" s="9"/>
      <c r="U4" s="9">
        <f>Actual!BD4</f>
        <v>9657.2999999999993</v>
      </c>
      <c r="V4" s="9">
        <f>Actual!BE4</f>
        <v>10200.9</v>
      </c>
      <c r="W4" s="9">
        <f>Actual!BF4</f>
        <v>12213.1</v>
      </c>
      <c r="X4" s="9">
        <f>17848.9-6664.7</f>
        <v>11184.2</v>
      </c>
      <c r="Y4" s="9">
        <f>15343.6-5538.6</f>
        <v>9805</v>
      </c>
      <c r="Z4" s="56">
        <v>46002</v>
      </c>
      <c r="AA4" s="2" t="s">
        <v>149</v>
      </c>
      <c r="AC4" s="57" t="s">
        <v>22</v>
      </c>
      <c r="AD4" s="58" t="s">
        <v>24</v>
      </c>
      <c r="AE4" s="58" t="s">
        <v>24</v>
      </c>
      <c r="AF4" s="58" t="s">
        <v>24</v>
      </c>
      <c r="AG4" s="58" t="s">
        <v>24</v>
      </c>
      <c r="AH4" s="58"/>
      <c r="AI4" s="59">
        <f t="shared" si="0"/>
        <v>42.443729903536962</v>
      </c>
      <c r="AJ4" s="59">
        <f t="shared" si="0"/>
        <v>29.063205417607225</v>
      </c>
      <c r="AK4" s="59">
        <f t="shared" si="0"/>
        <v>-5.9903804110187977</v>
      </c>
      <c r="AL4" s="59">
        <f t="shared" si="0"/>
        <v>16.279069767441861</v>
      </c>
      <c r="AN4" s="58" t="s">
        <v>24</v>
      </c>
      <c r="AO4" s="58" t="s">
        <v>24</v>
      </c>
      <c r="AP4" s="58" t="s">
        <v>24</v>
      </c>
      <c r="AQ4" s="58" t="s">
        <v>24</v>
      </c>
      <c r="AS4" s="59">
        <f t="shared" si="1"/>
        <v>5.6289024882731242</v>
      </c>
      <c r="AT4" s="59">
        <f t="shared" si="1"/>
        <v>19.72571047652659</v>
      </c>
      <c r="AU4" s="59">
        <f t="shared" si="1"/>
        <v>-8.4245605128918921</v>
      </c>
      <c r="AV4" s="59">
        <f t="shared" si="1"/>
        <v>-12.331682194524424</v>
      </c>
      <c r="AW4" s="59"/>
      <c r="AX4" s="60"/>
      <c r="AY4" s="55"/>
      <c r="AZ4" s="8" t="s">
        <v>51</v>
      </c>
      <c r="BA4" s="59">
        <v>-8.7752454653217402</v>
      </c>
      <c r="BB4" s="59"/>
      <c r="BC4" s="8" t="s">
        <v>99</v>
      </c>
      <c r="BD4" s="59">
        <v>-1.5390455157182756</v>
      </c>
      <c r="BE4" s="59"/>
      <c r="BF4" s="8" t="s">
        <v>43</v>
      </c>
      <c r="BG4" s="58">
        <v>-12.374575837734733</v>
      </c>
      <c r="BH4" s="59"/>
      <c r="BI4" s="8" t="s">
        <v>43</v>
      </c>
      <c r="BJ4" s="59">
        <v>-1.73278854302369</v>
      </c>
      <c r="BK4" s="61"/>
      <c r="BL4" s="55" t="s">
        <v>21</v>
      </c>
      <c r="BM4" s="59">
        <v>-2.4644366708306555</v>
      </c>
      <c r="BN4" s="59"/>
      <c r="BO4" s="8" t="s">
        <v>65</v>
      </c>
      <c r="BP4" s="59">
        <v>0.90101888472719649</v>
      </c>
      <c r="BR4" s="2" t="s">
        <v>2</v>
      </c>
      <c r="BS4" s="62">
        <f>(Actual!R53-Actual!Q53)/Actual!Q53</f>
        <v>2.6321742701665447E-2</v>
      </c>
      <c r="BT4" s="62">
        <f>(Actual!S53-Actual!R53)/Actual!R53</f>
        <v>5.7196486258333547E-2</v>
      </c>
      <c r="BU4" s="62">
        <f>(Actual!T53-Actual!S53)/Actual!S53</f>
        <v>-4.0083353101614039E-2</v>
      </c>
      <c r="BV4" s="62">
        <f>(Actual!U53-Actual!T53)/Actual!T53</f>
        <v>-3.128064013614705E-2</v>
      </c>
      <c r="BW4" s="62">
        <f>(Actual!V53-Actual!U53)/Actual!U53</f>
        <v>7.2239257265549986E-2</v>
      </c>
      <c r="BX4" s="62">
        <f>(Actual!W53-Actual!V53)/Actual!V53</f>
        <v>0.22515573048739648</v>
      </c>
      <c r="BY4" s="62">
        <f>(Actual!X53-Actual!W53)/Actual!W53</f>
        <v>-5.2535361865064613E-2</v>
      </c>
      <c r="BZ4" s="62">
        <f>(Actual!Y53-Actual!X53)/Actual!X53</f>
        <v>0.44029519247384746</v>
      </c>
      <c r="CA4" s="62">
        <f>(Actual!Z53-Actual!Y53)/Actual!Y53</f>
        <v>0.63803021596283882</v>
      </c>
      <c r="CB4" s="62">
        <f>(Actual!AA53-Actual!Z53)/Actual!Z53</f>
        <v>-5.9033625325768087E-3</v>
      </c>
      <c r="CC4" s="62">
        <f>(Actual!AB53-Actual!AA53)/Actual!AA53</f>
        <v>-2.2297948305951689E-2</v>
      </c>
      <c r="CD4" s="62">
        <f>(K53-J53)/J53</f>
        <v>4.1182674283328044E-2</v>
      </c>
      <c r="CE4" s="63">
        <f>AI54/100</f>
        <v>-1.0073897107146118E-2</v>
      </c>
      <c r="CF4" s="63">
        <f>AJ54/100</f>
        <v>-3.4266525626939527E-2</v>
      </c>
      <c r="CG4" s="63">
        <f>AK54/100</f>
        <v>-4.2790659377897278E-2</v>
      </c>
      <c r="CH4" s="63">
        <f>AL54/100</f>
        <v>2.9995197380683681E-3</v>
      </c>
      <c r="CJ4" s="64" t="s">
        <v>2</v>
      </c>
      <c r="CK4" s="63">
        <f>AJ53/100</f>
        <v>4.6552965742043699E-2</v>
      </c>
      <c r="CL4" s="63">
        <f>AJ54/100</f>
        <v>-3.4266525626939527E-2</v>
      </c>
      <c r="CN4" s="63">
        <f>AK53/100</f>
        <v>-3.4395185009384453E-2</v>
      </c>
      <c r="CO4" s="63">
        <f>AK54/100</f>
        <v>-4.2790659377897278E-2</v>
      </c>
      <c r="CQ4" s="63">
        <f>AL53/100</f>
        <v>-5.6090625352264731E-3</v>
      </c>
      <c r="CR4" s="63">
        <f>AL54/100</f>
        <v>2.9995197380683681E-3</v>
      </c>
    </row>
    <row r="5" spans="1:96" ht="13.75" customHeight="1" x14ac:dyDescent="0.25">
      <c r="A5" s="12" t="s">
        <v>26</v>
      </c>
      <c r="B5" s="8" t="s">
        <v>27</v>
      </c>
      <c r="C5" s="9">
        <f>Actual!M5</f>
        <v>5239.5528999999997</v>
      </c>
      <c r="D5" s="9">
        <f>Actual!N5</f>
        <v>4845.7665440000001</v>
      </c>
      <c r="E5" s="9">
        <f>Actual!O5</f>
        <v>5482.9503999999997</v>
      </c>
      <c r="F5" s="9">
        <v>5778.8011999999999</v>
      </c>
      <c r="G5" s="9">
        <v>6089.0083000000004</v>
      </c>
      <c r="H5" s="9"/>
      <c r="I5" s="9">
        <f>Actual!AA5</f>
        <v>1806.3114</v>
      </c>
      <c r="J5" s="9">
        <f>Actual!AB5</f>
        <v>1744.8216749999999</v>
      </c>
      <c r="K5" s="9">
        <f>Actual!AC5</f>
        <v>1750.5472</v>
      </c>
      <c r="L5" s="9">
        <v>1837.3452</v>
      </c>
      <c r="M5" s="9">
        <v>1903.2846999999999</v>
      </c>
      <c r="N5" s="9"/>
      <c r="O5" s="9">
        <f>Actual!AO5</f>
        <v>7677.7893000000004</v>
      </c>
      <c r="P5" s="9">
        <f>Actual!AP5</f>
        <v>7933.9142000000002</v>
      </c>
      <c r="Q5" s="9">
        <f>Actual!AQ5</f>
        <v>8151.8500999999997</v>
      </c>
      <c r="R5" s="9">
        <v>8395.0470000000005</v>
      </c>
      <c r="S5" s="9">
        <v>8686.3950999999997</v>
      </c>
      <c r="T5" s="9"/>
      <c r="U5" s="9">
        <f>Actual!BD5</f>
        <v>15589.6242</v>
      </c>
      <c r="V5" s="9">
        <f>Actual!BE5</f>
        <v>15452.588900000001</v>
      </c>
      <c r="W5" s="9">
        <f>Actual!BF5</f>
        <v>16428.0946</v>
      </c>
      <c r="X5" s="9">
        <v>17172.7516</v>
      </c>
      <c r="Y5" s="9">
        <v>17890.901999999998</v>
      </c>
      <c r="Z5" s="56">
        <v>46051</v>
      </c>
      <c r="AA5" s="2" t="s">
        <v>150</v>
      </c>
      <c r="AC5" s="57" t="s">
        <v>26</v>
      </c>
      <c r="AD5" s="58">
        <f t="shared" ref="AD5:AG10" si="2">(D5-C5)/C5*100</f>
        <v>-7.5156480622611834</v>
      </c>
      <c r="AE5" s="58">
        <f t="shared" si="2"/>
        <v>13.149289182925186</v>
      </c>
      <c r="AF5" s="58">
        <f>(F5-E5)/E5*100</f>
        <v>5.3958321417607609</v>
      </c>
      <c r="AG5" s="58">
        <f>(G5-F5)/F5*100</f>
        <v>5.3680181972690209</v>
      </c>
      <c r="AH5" s="58"/>
      <c r="AI5" s="59">
        <f t="shared" si="0"/>
        <v>-3.4041597146538596</v>
      </c>
      <c r="AJ5" s="59">
        <f t="shared" si="0"/>
        <v>0.32814384885493025</v>
      </c>
      <c r="AK5" s="59">
        <f t="shared" si="0"/>
        <v>4.9583353136664927</v>
      </c>
      <c r="AL5" s="59">
        <f t="shared" si="0"/>
        <v>3.5888465596992853</v>
      </c>
      <c r="AN5" s="59">
        <f>(P5-O5)/O5*100</f>
        <v>3.3359198851679843</v>
      </c>
      <c r="AO5" s="59">
        <f>(Q5-P5)/P5*100</f>
        <v>2.7468900533358362</v>
      </c>
      <c r="AP5" s="59">
        <f>(R5-Q5)/Q5*100</f>
        <v>2.9833338078677483</v>
      </c>
      <c r="AQ5" s="59">
        <f>(S5-R5)/R5*100</f>
        <v>3.470476103349978</v>
      </c>
      <c r="AS5" s="59">
        <f t="shared" si="1"/>
        <v>-0.87901605735948107</v>
      </c>
      <c r="AT5" s="59">
        <f t="shared" si="1"/>
        <v>6.3128949220929558</v>
      </c>
      <c r="AU5" s="59">
        <f t="shared" si="1"/>
        <v>4.5328263449371615</v>
      </c>
      <c r="AV5" s="59">
        <f t="shared" si="1"/>
        <v>4.1819180567428615</v>
      </c>
      <c r="AW5" s="59"/>
      <c r="AX5" s="60"/>
      <c r="AY5" s="8"/>
      <c r="AZ5" s="55" t="s">
        <v>23</v>
      </c>
      <c r="BA5" s="59">
        <v>-8.4245605128918921</v>
      </c>
      <c r="BB5" s="59"/>
      <c r="BC5" s="8" t="s">
        <v>53</v>
      </c>
      <c r="BD5" s="59">
        <v>-0.91817577345796964</v>
      </c>
      <c r="BE5" s="59"/>
      <c r="BF5" s="8" t="s">
        <v>51</v>
      </c>
      <c r="BG5" s="58">
        <v>-11.47043961596766</v>
      </c>
      <c r="BH5" s="59"/>
      <c r="BI5" s="8" t="s">
        <v>41</v>
      </c>
      <c r="BJ5" s="59">
        <v>0.25195142357395384</v>
      </c>
      <c r="BK5" s="61"/>
      <c r="BL5" s="8" t="s">
        <v>45</v>
      </c>
      <c r="BM5" s="59">
        <v>-2.0336283552443981</v>
      </c>
      <c r="BN5" s="59"/>
      <c r="BO5" s="8" t="s">
        <v>39</v>
      </c>
      <c r="BP5" s="59">
        <v>1.0626381763792243</v>
      </c>
      <c r="BR5" s="2" t="s">
        <v>151</v>
      </c>
      <c r="BS5" s="62">
        <f>(Actual!AF53-Actual!AE53)/Actual!AE53</f>
        <v>4.80754057560768E-2</v>
      </c>
      <c r="BT5" s="62">
        <f>(Actual!AG53-Actual!AF53)/Actual!AF53</f>
        <v>4.9971814903558759E-2</v>
      </c>
      <c r="BU5" s="62">
        <f>(Actual!AH53-Actual!AG53)/Actual!AG53</f>
        <v>2.656169041164079E-2</v>
      </c>
      <c r="BV5" s="62">
        <f>(Actual!AI53-Actual!AH53)/Actual!AH53</f>
        <v>2.8699384217801185E-2</v>
      </c>
      <c r="BW5" s="62">
        <f>(Actual!AJ53-Actual!AI53)/Actual!AI53</f>
        <v>4.3648740951604148E-2</v>
      </c>
      <c r="BX5" s="62">
        <f>(Actual!AK53-Actual!AJ53)/Actual!AJ53</f>
        <v>4.9802790067170873E-2</v>
      </c>
      <c r="BY5" s="62">
        <f>(Actual!AL53-Actual!AK53)/Actual!AK53</f>
        <v>3.5466359108429295E-3</v>
      </c>
      <c r="BZ5" s="62">
        <f>(Actual!AM53-Actual!AL53)/Actual!AL53</f>
        <v>0.10052001452691725</v>
      </c>
      <c r="CA5" s="62">
        <f>(Actual!AN53-Actual!AM53)/Actual!AM53</f>
        <v>0.14874180419712646</v>
      </c>
      <c r="CB5" s="62">
        <f>(Actual!AO53-Actual!AN53)/Actual!AN53</f>
        <v>5.300634633183833E-2</v>
      </c>
      <c r="CC5" s="62">
        <f>(Actual!AP53-Actual!AO53)/Actual!AO53</f>
        <v>1.2345516707102799E-2</v>
      </c>
      <c r="CD5" s="62">
        <f>(Q53-P53)/P53</f>
        <v>2.3931729788281755E-2</v>
      </c>
      <c r="CE5" s="63">
        <f>AN54/100</f>
        <v>1.1242559411776478E-2</v>
      </c>
      <c r="CF5" s="63">
        <f>AO54/100</f>
        <v>2.4795912700616426E-2</v>
      </c>
      <c r="CG5" s="63">
        <f>AP54/100</f>
        <v>3.2100825568213608E-2</v>
      </c>
      <c r="CH5" s="63">
        <f>AQ54/100</f>
        <v>2.8903696787063372E-2</v>
      </c>
      <c r="CJ5" s="64" t="s">
        <v>3</v>
      </c>
      <c r="CK5" s="63">
        <f>AO53/100</f>
        <v>2.5082353937087437E-2</v>
      </c>
      <c r="CL5" s="63">
        <f>AO54/100</f>
        <v>2.4795912700616426E-2</v>
      </c>
      <c r="CN5" s="63">
        <f>AP53/100</f>
        <v>3.2270546279548583E-2</v>
      </c>
      <c r="CO5" s="63">
        <f>AP54/100</f>
        <v>3.2100825568213608E-2</v>
      </c>
      <c r="CQ5" s="63">
        <f>AQ53/100</f>
        <v>2.8316191263588246E-2</v>
      </c>
      <c r="CR5" s="63">
        <f>AQ54/100</f>
        <v>2.8903696787063372E-2</v>
      </c>
    </row>
    <row r="6" spans="1:96" ht="13.75" customHeight="1" x14ac:dyDescent="0.25">
      <c r="A6" s="14" t="s">
        <v>28</v>
      </c>
      <c r="B6" s="8" t="s">
        <v>29</v>
      </c>
      <c r="C6" s="13">
        <f>Actual!M6</f>
        <v>3147.8</v>
      </c>
      <c r="D6" s="13">
        <f>Actual!N6</f>
        <v>3066.7</v>
      </c>
      <c r="E6" s="13">
        <f>Actual!O6</f>
        <v>2939.3</v>
      </c>
      <c r="F6" s="13"/>
      <c r="G6" s="13"/>
      <c r="H6" s="65"/>
      <c r="I6" s="13">
        <f>Actual!AA6</f>
        <v>782.1</v>
      </c>
      <c r="J6" s="13">
        <f>Actual!AB6</f>
        <v>608.69999999999993</v>
      </c>
      <c r="K6" s="13">
        <f>Actual!AC6</f>
        <v>395.8</v>
      </c>
      <c r="L6" s="13"/>
      <c r="M6" s="13"/>
      <c r="N6" s="13"/>
      <c r="O6" s="13">
        <f>Actual!AO6</f>
        <v>3418.4</v>
      </c>
      <c r="P6" s="13">
        <f>Actual!AP6</f>
        <v>3480.4</v>
      </c>
      <c r="Q6" s="13">
        <f>Actual!AQ6</f>
        <v>3527.9</v>
      </c>
      <c r="R6" s="13"/>
      <c r="S6" s="13"/>
      <c r="T6" s="13"/>
      <c r="U6" s="13">
        <f>Actual!BD6</f>
        <v>7185.4</v>
      </c>
      <c r="V6" s="13">
        <f>Actual!BE6</f>
        <v>6900.5</v>
      </c>
      <c r="W6" s="13">
        <f>Actual!BF6</f>
        <v>6679.4</v>
      </c>
      <c r="X6" s="13"/>
      <c r="Y6" s="13"/>
      <c r="Z6" s="56"/>
      <c r="AA6" s="2" t="s">
        <v>152</v>
      </c>
      <c r="AC6" s="66" t="s">
        <v>28</v>
      </c>
      <c r="AD6" s="67"/>
      <c r="AE6" s="67"/>
      <c r="AF6" s="67"/>
      <c r="AG6" s="67"/>
      <c r="AH6" s="67"/>
      <c r="AI6" s="67"/>
      <c r="AJ6" s="67"/>
      <c r="AK6" s="67"/>
      <c r="AL6" s="67"/>
      <c r="AM6" s="68"/>
      <c r="AN6" s="67"/>
      <c r="AO6" s="67"/>
      <c r="AP6" s="67"/>
      <c r="AQ6" s="67"/>
      <c r="AR6" s="68"/>
      <c r="AS6" s="67"/>
      <c r="AT6" s="67"/>
      <c r="AU6" s="67"/>
      <c r="AV6" s="67"/>
      <c r="AW6" s="59"/>
      <c r="AX6" s="60"/>
      <c r="AY6" s="8"/>
      <c r="AZ6" s="8" t="s">
        <v>45</v>
      </c>
      <c r="BA6" s="59">
        <v>-6.0327091866887876</v>
      </c>
      <c r="BB6" s="59"/>
      <c r="BC6" s="8" t="s">
        <v>41</v>
      </c>
      <c r="BD6" s="59">
        <v>-0.43429250878714004</v>
      </c>
      <c r="BE6" s="59"/>
      <c r="BF6" s="8" t="s">
        <v>101</v>
      </c>
      <c r="BG6" s="58">
        <v>-3.5636607581650019</v>
      </c>
      <c r="BH6" s="59"/>
      <c r="BI6" s="8" t="s">
        <v>93</v>
      </c>
      <c r="BJ6" s="59">
        <v>0.57777205458649528</v>
      </c>
      <c r="BK6" s="61"/>
      <c r="BL6" s="8" t="s">
        <v>65</v>
      </c>
      <c r="BM6" s="59">
        <v>-1.6562773685023922</v>
      </c>
      <c r="BN6" s="59"/>
      <c r="BO6" s="55" t="s">
        <v>21</v>
      </c>
      <c r="BP6" s="59">
        <v>1.7191598870747324</v>
      </c>
      <c r="BR6" s="2" t="s">
        <v>153</v>
      </c>
      <c r="BS6" s="62">
        <f>(Actual!AU53-Actual!AT53)/Actual!AT53</f>
        <v>2.460616279328855E-2</v>
      </c>
      <c r="BT6" s="62">
        <f>(Actual!AV53-Actual!AU53)/Actual!AU53</f>
        <v>4.863568750441815E-2</v>
      </c>
      <c r="BU6" s="62">
        <f>(Actual!AW53-Actual!AV53)/Actual!AV53</f>
        <v>1.015096476060005E-2</v>
      </c>
      <c r="BV6" s="62">
        <f>(Actual!AX53-Actual!AW53)/Actual!AW53</f>
        <v>3.2421412924216887E-2</v>
      </c>
      <c r="BW6" s="62">
        <f>(Actual!AY53-Actual!AX53)/Actual!AX53</f>
        <v>7.3344620764735094E-2</v>
      </c>
      <c r="BX6" s="62">
        <f>(Actual!AZ53-Actual!AY53)/Actual!AY53</f>
        <v>5.0765498773220057E-2</v>
      </c>
      <c r="BY6" s="62">
        <f>(Actual!BA53-Actual!AZ53)/Actual!AZ53</f>
        <v>-1.1535194250705151E-2</v>
      </c>
      <c r="BZ6" s="62">
        <f>(Actual!BB53-Actual!BA53)/Actual!BA53</f>
        <v>0.18087847846121563</v>
      </c>
      <c r="CA6" s="62">
        <f>(Actual!BC53-Actual!BB53)/Actual!BB53</f>
        <v>0.15557291485424973</v>
      </c>
      <c r="CB6" s="62">
        <f>(Actual!BD53-Actual!BC53)/Actual!BC53</f>
        <v>-1.8121534885122376E-2</v>
      </c>
      <c r="CC6" s="62">
        <f>(Actual!BE53-Actual!BD53)/Actual!BD53</f>
        <v>2.1985104917201057E-2</v>
      </c>
      <c r="CD6" s="62">
        <f>(W53-V53)/V53</f>
        <v>5.2774671435747454E-2</v>
      </c>
      <c r="CE6" s="63">
        <f>AS54/100</f>
        <v>2.0618149277293833E-2</v>
      </c>
      <c r="CF6" s="63">
        <f>AT54/100</f>
        <v>3.4452806588273301E-2</v>
      </c>
      <c r="CG6" s="63">
        <f>AU54/100</f>
        <v>7.0979367704238835E-3</v>
      </c>
      <c r="CH6" s="63">
        <f>AV54/100</f>
        <v>2.2105904757411012E-2</v>
      </c>
      <c r="CJ6" s="64" t="s">
        <v>4</v>
      </c>
      <c r="CK6" s="63">
        <f>AT53/100</f>
        <v>5.6061616213262881E-2</v>
      </c>
      <c r="CL6" s="63">
        <f>AT54/100</f>
        <v>3.4452806588273301E-2</v>
      </c>
      <c r="CN6" s="63">
        <f>AU53/100</f>
        <v>2.0867832568325737E-2</v>
      </c>
      <c r="CO6" s="63">
        <f>AU54/100</f>
        <v>7.0979367704238835E-3</v>
      </c>
      <c r="CQ6" s="63">
        <f>AV53/100</f>
        <v>1.8939018338544958E-2</v>
      </c>
      <c r="CR6" s="63">
        <f>AV54/100</f>
        <v>2.2105904757411012E-2</v>
      </c>
    </row>
    <row r="7" spans="1:96" ht="13.75" customHeight="1" x14ac:dyDescent="0.25">
      <c r="A7" s="14" t="s">
        <v>30</v>
      </c>
      <c r="B7" s="8" t="s">
        <v>31</v>
      </c>
      <c r="C7" s="9">
        <f>Actual!M7</f>
        <v>101748.819</v>
      </c>
      <c r="D7" s="9">
        <f>Actual!N7</f>
        <v>115166</v>
      </c>
      <c r="E7" s="9">
        <f>Actual!O7</f>
        <v>130178</v>
      </c>
      <c r="F7" s="9">
        <v>137840</v>
      </c>
      <c r="G7" s="9">
        <v>142202</v>
      </c>
      <c r="H7" s="60"/>
      <c r="I7" s="9">
        <f>Actual!AA7</f>
        <v>36337</v>
      </c>
      <c r="J7" s="9">
        <f>Actual!AB7</f>
        <v>35456</v>
      </c>
      <c r="K7" s="9">
        <f>Actual!AC7</f>
        <v>41338</v>
      </c>
      <c r="L7" s="9">
        <v>41702</v>
      </c>
      <c r="M7" s="9">
        <v>43528</v>
      </c>
      <c r="N7" s="9"/>
      <c r="O7" s="9">
        <f>Actual!AO7</f>
        <v>33324</v>
      </c>
      <c r="P7" s="9">
        <f>Actual!AP7</f>
        <v>33339</v>
      </c>
      <c r="Q7" s="9">
        <f>Actual!AQ7</f>
        <v>33602</v>
      </c>
      <c r="R7" s="9">
        <v>34401</v>
      </c>
      <c r="S7" s="9">
        <v>35085</v>
      </c>
      <c r="T7" s="9"/>
      <c r="U7" s="9">
        <f>Actual!BD7</f>
        <v>179214</v>
      </c>
      <c r="V7" s="9">
        <f>Actual!BE7</f>
        <v>195261</v>
      </c>
      <c r="W7" s="9">
        <f>Actual!BF7</f>
        <v>218506</v>
      </c>
      <c r="X7" s="9">
        <v>225706</v>
      </c>
      <c r="Y7" s="9">
        <v>231047</v>
      </c>
      <c r="Z7" s="56">
        <v>46037</v>
      </c>
      <c r="AA7" s="2" t="s">
        <v>152</v>
      </c>
      <c r="AB7" s="1"/>
      <c r="AC7" s="57" t="s">
        <v>30</v>
      </c>
      <c r="AD7" s="58">
        <f>(D7-C7)/C7*100</f>
        <v>13.186571728169147</v>
      </c>
      <c r="AE7" s="58">
        <f>(E7-D7)/D7*100</f>
        <v>13.035097164093571</v>
      </c>
      <c r="AF7" s="58">
        <f>(F7-E7)/E7*100</f>
        <v>5.8857871529751566</v>
      </c>
      <c r="AG7" s="58">
        <f>(G7-F7)/F7*100</f>
        <v>3.1645385954730121</v>
      </c>
      <c r="AH7" s="58"/>
      <c r="AI7" s="59">
        <f>(J7-I7)/I7*100</f>
        <v>-2.4245259652695599</v>
      </c>
      <c r="AJ7" s="59">
        <f>(K7-J7)/J7*100</f>
        <v>16.589575812274369</v>
      </c>
      <c r="AK7" s="59">
        <f>(L7-K7)/K7*100</f>
        <v>0.8805457448352606</v>
      </c>
      <c r="AL7" s="59">
        <f>(M7-L7)/L7*100</f>
        <v>4.3786868735312456</v>
      </c>
      <c r="AN7" s="59">
        <f t="shared" ref="AN7:AQ9" si="3">(P7-O7)/O7*100</f>
        <v>4.5012603528988115E-2</v>
      </c>
      <c r="AO7" s="59">
        <f t="shared" si="3"/>
        <v>0.78886589279822428</v>
      </c>
      <c r="AP7" s="59">
        <f t="shared" si="3"/>
        <v>2.377834652699244</v>
      </c>
      <c r="AQ7" s="59">
        <f t="shared" si="3"/>
        <v>1.9883142931891515</v>
      </c>
      <c r="AS7" s="59">
        <f>(V7-U7)/U7*100</f>
        <v>8.9540995681140991</v>
      </c>
      <c r="AT7" s="59">
        <f>(W7-V7)/V7*100</f>
        <v>11.90457899939056</v>
      </c>
      <c r="AU7" s="59">
        <f>(X7-W7)/W7*100</f>
        <v>3.2951040246034435</v>
      </c>
      <c r="AV7" s="59">
        <f>(Y7-X7)/X7*100</f>
        <v>2.3663526888961743</v>
      </c>
      <c r="AW7" s="59"/>
      <c r="AX7" s="60"/>
      <c r="AY7" s="8"/>
      <c r="AZ7" s="8" t="s">
        <v>43</v>
      </c>
      <c r="BA7" s="59">
        <v>-4.7000043412172721</v>
      </c>
      <c r="BB7" s="59"/>
      <c r="BC7" s="8" t="s">
        <v>75</v>
      </c>
      <c r="BD7" s="59">
        <v>-0.32130859186698657</v>
      </c>
      <c r="BE7" s="59"/>
      <c r="BF7" s="8" t="s">
        <v>69</v>
      </c>
      <c r="BG7" s="58">
        <v>-3.5605613042381647</v>
      </c>
      <c r="BH7" s="59"/>
      <c r="BI7" s="8" t="s">
        <v>57</v>
      </c>
      <c r="BJ7" s="59">
        <v>0.85410144020037337</v>
      </c>
      <c r="BL7" s="8" t="s">
        <v>121</v>
      </c>
      <c r="BM7" s="59">
        <v>-0.42405730868388314</v>
      </c>
      <c r="BN7" s="59"/>
      <c r="BO7" s="8" t="s">
        <v>31</v>
      </c>
      <c r="BP7" s="59">
        <v>1.9883142931891515</v>
      </c>
    </row>
    <row r="8" spans="1:96" ht="13.75" customHeight="1" x14ac:dyDescent="0.25">
      <c r="A8" s="16" t="s">
        <v>32</v>
      </c>
      <c r="B8" s="8" t="s">
        <v>33</v>
      </c>
      <c r="C8" s="9">
        <f>Actual!M8</f>
        <v>10952.7</v>
      </c>
      <c r="D8" s="9">
        <f>Actual!N8</f>
        <v>10044.200000000001</v>
      </c>
      <c r="E8" s="9">
        <f>Actual!O8</f>
        <v>9997.9</v>
      </c>
      <c r="F8" s="9">
        <v>10225.799999999999</v>
      </c>
      <c r="G8" s="9">
        <v>11593.2</v>
      </c>
      <c r="H8" s="69"/>
      <c r="I8" s="9">
        <f>Actual!AA8</f>
        <v>2366.6999999999998</v>
      </c>
      <c r="J8" s="9">
        <f>Actual!AB8</f>
        <v>2796.6</v>
      </c>
      <c r="K8" s="9">
        <f>Actual!AC8</f>
        <v>2619.5</v>
      </c>
      <c r="L8" s="9">
        <v>1812.5</v>
      </c>
      <c r="M8" s="9">
        <v>2084.4</v>
      </c>
      <c r="N8" s="9"/>
      <c r="O8" s="9">
        <f>Actual!AO8</f>
        <v>4552.8</v>
      </c>
      <c r="P8" s="9">
        <f>Actual!AP8</f>
        <v>4595.8</v>
      </c>
      <c r="Q8" s="9">
        <f>Actual!AQ8</f>
        <v>4657.7000000000007</v>
      </c>
      <c r="R8" s="9">
        <f>4600.1+232.3</f>
        <v>4832.4000000000005</v>
      </c>
      <c r="S8" s="9">
        <f>4798.5+248.1</f>
        <v>5046.6000000000004</v>
      </c>
      <c r="T8" s="9"/>
      <c r="U8" s="9">
        <f>Actual!BD8</f>
        <v>17998</v>
      </c>
      <c r="V8" s="9">
        <f>Actual!BE8</f>
        <v>17251.400000000001</v>
      </c>
      <c r="W8" s="9">
        <f>Actual!BF8</f>
        <v>17181.3</v>
      </c>
      <c r="X8" s="9">
        <v>16870.3</v>
      </c>
      <c r="Y8" s="9">
        <v>18325.5</v>
      </c>
      <c r="Z8" s="56">
        <v>46006</v>
      </c>
      <c r="AA8" s="2" t="s">
        <v>152</v>
      </c>
      <c r="AC8" s="57" t="s">
        <v>32</v>
      </c>
      <c r="AD8" s="58">
        <f t="shared" si="2"/>
        <v>-8.2947583700822634</v>
      </c>
      <c r="AE8" s="58">
        <f t="shared" si="2"/>
        <v>-0.46096254554868565</v>
      </c>
      <c r="AF8" s="58">
        <f t="shared" si="2"/>
        <v>2.2794786905250066</v>
      </c>
      <c r="AG8" s="58">
        <f t="shared" si="2"/>
        <v>13.372058909816362</v>
      </c>
      <c r="AH8" s="58"/>
      <c r="AI8" s="59">
        <f t="shared" ref="AI8:AL14" si="4">(J8-I8)/I8*100</f>
        <v>18.164532893902908</v>
      </c>
      <c r="AJ8" s="59">
        <f t="shared" si="4"/>
        <v>-6.33268969462919</v>
      </c>
      <c r="AK8" s="59">
        <f t="shared" si="4"/>
        <v>-30.807405993510212</v>
      </c>
      <c r="AL8" s="59">
        <f t="shared" si="4"/>
        <v>15.001379310344834</v>
      </c>
      <c r="AN8" s="59">
        <f t="shared" si="3"/>
        <v>0.94447373045159022</v>
      </c>
      <c r="AO8" s="59">
        <f t="shared" si="3"/>
        <v>1.3468819356804158</v>
      </c>
      <c r="AP8" s="59">
        <f t="shared" si="3"/>
        <v>3.7507782811258732</v>
      </c>
      <c r="AQ8" s="59">
        <f t="shared" si="3"/>
        <v>4.4325800844300929</v>
      </c>
      <c r="AS8" s="59">
        <f t="shared" ref="AS8:AV14" si="5">(V8-U8)/U8*100</f>
        <v>-4.1482386931881239</v>
      </c>
      <c r="AT8" s="59">
        <f t="shared" si="5"/>
        <v>-0.40634383296429377</v>
      </c>
      <c r="AU8" s="59">
        <f t="shared" si="5"/>
        <v>-1.8101075005965788</v>
      </c>
      <c r="AV8" s="59">
        <f t="shared" si="5"/>
        <v>8.6258098551893028</v>
      </c>
      <c r="AW8" s="59"/>
      <c r="AX8" s="60"/>
      <c r="AY8" s="8"/>
      <c r="AZ8" s="8" t="s">
        <v>57</v>
      </c>
      <c r="BA8" s="59">
        <v>-4.4879356568364566</v>
      </c>
      <c r="BB8" s="59"/>
      <c r="BC8" s="8" t="s">
        <v>69</v>
      </c>
      <c r="BD8" s="59">
        <v>-0.25953389830508955</v>
      </c>
      <c r="BE8" s="59"/>
      <c r="BF8" s="8" t="s">
        <v>93</v>
      </c>
      <c r="BG8" s="58">
        <v>-3.3305882345832956</v>
      </c>
      <c r="BH8" s="59"/>
      <c r="BI8" s="8" t="s">
        <v>35</v>
      </c>
      <c r="BJ8" s="59">
        <v>1.0226587657515944</v>
      </c>
      <c r="BK8" s="61"/>
      <c r="BL8" s="8" t="s">
        <v>53</v>
      </c>
      <c r="BM8" s="59">
        <v>0.27449603793454574</v>
      </c>
      <c r="BN8" s="59"/>
      <c r="BO8" s="8" t="s">
        <v>63</v>
      </c>
      <c r="BP8" s="59">
        <v>2.0403957131079968</v>
      </c>
    </row>
    <row r="9" spans="1:96" ht="13.75" customHeight="1" x14ac:dyDescent="0.25">
      <c r="A9" s="14" t="s">
        <v>34</v>
      </c>
      <c r="B9" s="8" t="s">
        <v>35</v>
      </c>
      <c r="C9" s="9">
        <f>Actual!M9</f>
        <v>11223.390233</v>
      </c>
      <c r="D9" s="9">
        <f>Actual!N9</f>
        <v>11803.046585</v>
      </c>
      <c r="E9" s="9">
        <f>Actual!O9</f>
        <v>12963.930468</v>
      </c>
      <c r="F9" s="9">
        <f>9503.4+4098.4</f>
        <v>13601.8</v>
      </c>
      <c r="G9" s="9">
        <f>9864+3876.9</f>
        <v>13740.9</v>
      </c>
      <c r="H9" s="40"/>
      <c r="I9" s="9">
        <f>Actual!AA9</f>
        <v>3564.6562009999998</v>
      </c>
      <c r="J9" s="9">
        <f>Actual!AB9</f>
        <v>3520.2046700000001</v>
      </c>
      <c r="K9" s="9">
        <f>Actual!AC9</f>
        <v>3769.598285</v>
      </c>
      <c r="L9" s="9">
        <f>1381.7+2440.6</f>
        <v>3822.3</v>
      </c>
      <c r="M9" s="9">
        <f>1460.5+2365.6</f>
        <v>3826.1</v>
      </c>
      <c r="N9" s="40"/>
      <c r="O9" s="9">
        <f>Actual!AO9</f>
        <v>5782.4011970000001</v>
      </c>
      <c r="P9" s="9">
        <f>Actual!AP9</f>
        <v>5847.4101860000001</v>
      </c>
      <c r="Q9" s="9">
        <f>Actual!AQ9</f>
        <v>5998.3276729999998</v>
      </c>
      <c r="R9" s="9">
        <f>5279.2+899.1</f>
        <v>6178.3</v>
      </c>
      <c r="S9" s="9">
        <f>5409.9+922.7</f>
        <v>6332.5999999999995</v>
      </c>
      <c r="T9" s="9"/>
      <c r="U9" s="9">
        <f>Actual!BD9</f>
        <v>22894.461310999999</v>
      </c>
      <c r="V9" s="9">
        <f>Actual!BE9</f>
        <v>23066.008774000002</v>
      </c>
      <c r="W9" s="9">
        <f>Actual!BF9</f>
        <v>24177.124255819999</v>
      </c>
      <c r="X9" s="9">
        <f>24465-1827.1+2325.3</f>
        <v>24963.200000000001</v>
      </c>
      <c r="Y9" s="9">
        <f>26038.4-1940.8+2430.6</f>
        <v>26528.2</v>
      </c>
      <c r="Z9" s="56">
        <v>46037</v>
      </c>
      <c r="AA9" s="2" t="s">
        <v>154</v>
      </c>
      <c r="AC9" s="57" t="s">
        <v>34</v>
      </c>
      <c r="AD9" s="58">
        <f t="shared" si="2"/>
        <v>5.1647170771594784</v>
      </c>
      <c r="AE9" s="58">
        <f t="shared" si="2"/>
        <v>9.8354596386607458</v>
      </c>
      <c r="AF9" s="58">
        <f t="shared" si="2"/>
        <v>4.9203405832398417</v>
      </c>
      <c r="AG9" s="58">
        <f t="shared" si="2"/>
        <v>1.0226587657515944</v>
      </c>
      <c r="AH9" s="58"/>
      <c r="AI9" s="59">
        <f t="shared" si="4"/>
        <v>-1.2470075231246602</v>
      </c>
      <c r="AJ9" s="59">
        <f t="shared" si="4"/>
        <v>7.0846339454461313</v>
      </c>
      <c r="AK9" s="59">
        <f t="shared" si="4"/>
        <v>1.398072447393427</v>
      </c>
      <c r="AL9" s="59">
        <f t="shared" si="4"/>
        <v>9.9416581639319962E-2</v>
      </c>
      <c r="AN9" s="59">
        <f t="shared" si="3"/>
        <v>1.1242559411776478</v>
      </c>
      <c r="AO9" s="59">
        <f t="shared" si="3"/>
        <v>2.5809286880768125</v>
      </c>
      <c r="AP9" s="59">
        <f t="shared" si="3"/>
        <v>3.0003750513680951</v>
      </c>
      <c r="AQ9" s="59">
        <f t="shared" si="3"/>
        <v>2.4974507550620602</v>
      </c>
      <c r="AS9" s="59">
        <f t="shared" si="5"/>
        <v>0.74929678698131219</v>
      </c>
      <c r="AT9" s="59">
        <f t="shared" si="5"/>
        <v>4.8171120227459836</v>
      </c>
      <c r="AU9" s="59">
        <f t="shared" si="5"/>
        <v>3.251320280536568</v>
      </c>
      <c r="AV9" s="59">
        <f t="shared" si="5"/>
        <v>6.2692283040635814</v>
      </c>
      <c r="AW9" s="59"/>
      <c r="AX9" s="60"/>
      <c r="AY9" s="8"/>
      <c r="AZ9" s="8" t="s">
        <v>109</v>
      </c>
      <c r="BA9" s="59">
        <v>-3.7327404633746806</v>
      </c>
      <c r="BB9" s="59"/>
      <c r="BC9" s="8" t="s">
        <v>85</v>
      </c>
      <c r="BD9" s="59">
        <v>-0.17495217570283556</v>
      </c>
      <c r="BE9" s="59"/>
      <c r="BF9" s="8" t="s">
        <v>49</v>
      </c>
      <c r="BG9" s="58">
        <v>-1.5183258126899513</v>
      </c>
      <c r="BH9" s="59"/>
      <c r="BI9" s="8" t="s">
        <v>45</v>
      </c>
      <c r="BJ9" s="59">
        <v>1.1556060796502228</v>
      </c>
      <c r="BK9" s="61"/>
      <c r="BL9" s="8" t="s">
        <v>63</v>
      </c>
      <c r="BM9" s="59">
        <v>1.0938639441608502</v>
      </c>
      <c r="BN9" s="59"/>
      <c r="BO9" s="8" t="s">
        <v>119</v>
      </c>
      <c r="BP9" s="59">
        <v>2.0536167159452092</v>
      </c>
    </row>
    <row r="10" spans="1:96" ht="13.75" customHeight="1" x14ac:dyDescent="0.25">
      <c r="A10" s="14" t="s">
        <v>36</v>
      </c>
      <c r="B10" s="8" t="s">
        <v>37</v>
      </c>
      <c r="C10" s="9">
        <f>Actual!M10</f>
        <v>2112.9</v>
      </c>
      <c r="D10" s="9">
        <f>Actual!N10</f>
        <v>2216.8943559999998</v>
      </c>
      <c r="E10" s="9">
        <f>Actual!O10</f>
        <v>2383.1999999999998</v>
      </c>
      <c r="F10" s="9">
        <v>2532.8000000000002</v>
      </c>
      <c r="G10" s="9">
        <v>2648.3</v>
      </c>
      <c r="H10" s="9"/>
      <c r="I10" s="9">
        <f>Actual!AA10</f>
        <v>383.9</v>
      </c>
      <c r="J10" s="9">
        <f>Actual!AB10</f>
        <v>344.81503399999997</v>
      </c>
      <c r="K10" s="9">
        <f>Actual!AC10</f>
        <v>371.4</v>
      </c>
      <c r="L10" s="9">
        <v>333.3</v>
      </c>
      <c r="M10" s="9">
        <v>255.2</v>
      </c>
      <c r="N10" s="9"/>
      <c r="O10" s="9" t="str">
        <f>Actual!AO10</f>
        <v>N/A</v>
      </c>
      <c r="P10" s="9" t="str">
        <f>Actual!AP10</f>
        <v>N/A</v>
      </c>
      <c r="Q10" s="9" t="str">
        <f>Actual!AQ10</f>
        <v>N/A</v>
      </c>
      <c r="R10" s="9" t="s">
        <v>24</v>
      </c>
      <c r="S10" s="9" t="s">
        <v>24</v>
      </c>
      <c r="T10" s="9"/>
      <c r="U10" s="9">
        <f>Actual!BD10</f>
        <v>6295.1</v>
      </c>
      <c r="V10" s="9">
        <f>Actual!BE10</f>
        <v>6348.9250240000001</v>
      </c>
      <c r="W10" s="9">
        <f>Actual!BF10</f>
        <v>6694.3</v>
      </c>
      <c r="X10" s="9">
        <v>6856.9</v>
      </c>
      <c r="Y10" s="9">
        <v>6948.5</v>
      </c>
      <c r="Z10" s="56">
        <v>46005</v>
      </c>
      <c r="AA10" s="2" t="s">
        <v>152</v>
      </c>
      <c r="AC10" s="57" t="s">
        <v>36</v>
      </c>
      <c r="AD10" s="58">
        <f t="shared" si="2"/>
        <v>4.9218777982867001</v>
      </c>
      <c r="AE10" s="58">
        <f t="shared" si="2"/>
        <v>7.5017396994987902</v>
      </c>
      <c r="AF10" s="58">
        <f t="shared" si="2"/>
        <v>6.2772742531050847</v>
      </c>
      <c r="AG10" s="58">
        <f t="shared" si="2"/>
        <v>4.5601705622236253</v>
      </c>
      <c r="AH10" s="58"/>
      <c r="AI10" s="59">
        <f t="shared" si="4"/>
        <v>-10.181027871841628</v>
      </c>
      <c r="AJ10" s="59">
        <f t="shared" si="4"/>
        <v>7.7099207919107187</v>
      </c>
      <c r="AK10" s="59">
        <f t="shared" si="4"/>
        <v>-10.258481421647812</v>
      </c>
      <c r="AL10" s="59">
        <f t="shared" si="4"/>
        <v>-23.43234323432344</v>
      </c>
      <c r="AN10" s="58" t="s">
        <v>24</v>
      </c>
      <c r="AO10" s="58" t="s">
        <v>24</v>
      </c>
      <c r="AP10" s="58" t="s">
        <v>24</v>
      </c>
      <c r="AQ10" s="58" t="s">
        <v>24</v>
      </c>
      <c r="AS10" s="59">
        <f t="shared" si="5"/>
        <v>0.85503048402725546</v>
      </c>
      <c r="AT10" s="59">
        <f t="shared" si="5"/>
        <v>5.4398969068688761</v>
      </c>
      <c r="AU10" s="59">
        <f t="shared" si="5"/>
        <v>2.428932076542722</v>
      </c>
      <c r="AV10" s="59">
        <f t="shared" si="5"/>
        <v>1.3358806457728765</v>
      </c>
      <c r="AW10" s="59"/>
      <c r="AX10" s="60"/>
      <c r="AY10" s="8"/>
      <c r="AZ10" s="8" t="s">
        <v>117</v>
      </c>
      <c r="BA10" s="59">
        <v>-3.554866748209895</v>
      </c>
      <c r="BB10" s="59"/>
      <c r="BC10" s="8" t="s">
        <v>57</v>
      </c>
      <c r="BD10" s="59">
        <v>-0.11103002176937624</v>
      </c>
      <c r="BE10" s="59"/>
      <c r="BF10" s="8" t="s">
        <v>71</v>
      </c>
      <c r="BG10" s="58">
        <v>-1.2394306767433312</v>
      </c>
      <c r="BH10" s="59"/>
      <c r="BI10" s="8" t="s">
        <v>63</v>
      </c>
      <c r="BJ10" s="59">
        <v>1.2087756043878022</v>
      </c>
      <c r="BK10" s="61"/>
      <c r="BL10" s="8" t="s">
        <v>93</v>
      </c>
      <c r="BM10" s="59">
        <v>1.279759090274684</v>
      </c>
      <c r="BN10" s="59"/>
      <c r="BO10" s="8" t="s">
        <v>41</v>
      </c>
      <c r="BP10" s="59">
        <v>2.218962589818064</v>
      </c>
    </row>
    <row r="11" spans="1:96" ht="13.75" customHeight="1" x14ac:dyDescent="0.25">
      <c r="A11" s="14" t="s">
        <v>38</v>
      </c>
      <c r="B11" s="8" t="s">
        <v>39</v>
      </c>
      <c r="C11" s="9" t="str">
        <f>Actual!M11</f>
        <v>N/A</v>
      </c>
      <c r="D11" s="9" t="str">
        <f>Actual!N11</f>
        <v>N/A</v>
      </c>
      <c r="E11" s="9" t="str">
        <f>Actual!O11</f>
        <v>N/A</v>
      </c>
      <c r="F11" s="9" t="s">
        <v>24</v>
      </c>
      <c r="G11" s="9" t="s">
        <v>24</v>
      </c>
      <c r="H11" s="9"/>
      <c r="I11" s="9">
        <f>Actual!AA11</f>
        <v>5517.2</v>
      </c>
      <c r="J11" s="9">
        <f>Actual!AB11</f>
        <v>6015.8</v>
      </c>
      <c r="K11" s="9">
        <f>Actual!AC11</f>
        <v>5808.9</v>
      </c>
      <c r="L11" s="9">
        <v>5334.8</v>
      </c>
      <c r="M11" s="9">
        <v>5361.5</v>
      </c>
      <c r="N11" s="9"/>
      <c r="O11" s="9">
        <f>Actual!AO11</f>
        <v>35800.199999999997</v>
      </c>
      <c r="P11" s="9">
        <f>Actual!AP11</f>
        <v>36014</v>
      </c>
      <c r="Q11" s="9">
        <f>Actual!AQ11</f>
        <v>36907</v>
      </c>
      <c r="R11" s="9">
        <v>37406.9</v>
      </c>
      <c r="S11" s="9">
        <v>37804.400000000001</v>
      </c>
      <c r="T11" s="9"/>
      <c r="U11" s="9">
        <f>Actual!BD11</f>
        <v>47327.8</v>
      </c>
      <c r="V11" s="9">
        <f>Actual!BE11</f>
        <v>48342</v>
      </c>
      <c r="W11" s="9">
        <f>Actual!BF11</f>
        <v>49676</v>
      </c>
      <c r="X11" s="9">
        <v>50987.5</v>
      </c>
      <c r="Y11" s="9">
        <v>52101</v>
      </c>
      <c r="Z11" s="56">
        <v>46045</v>
      </c>
      <c r="AA11" s="2" t="s">
        <v>152</v>
      </c>
      <c r="AC11" s="57" t="s">
        <v>38</v>
      </c>
      <c r="AD11" s="58" t="s">
        <v>24</v>
      </c>
      <c r="AE11" s="58" t="s">
        <v>24</v>
      </c>
      <c r="AF11" s="58" t="s">
        <v>24</v>
      </c>
      <c r="AG11" s="58" t="s">
        <v>24</v>
      </c>
      <c r="AH11" s="58"/>
      <c r="AI11" s="59">
        <f t="shared" si="4"/>
        <v>9.0371927789458493</v>
      </c>
      <c r="AJ11" s="59">
        <f t="shared" si="4"/>
        <v>-3.4392765716945468</v>
      </c>
      <c r="AK11" s="59">
        <f t="shared" si="4"/>
        <v>-8.1616140749539401</v>
      </c>
      <c r="AL11" s="59">
        <f t="shared" si="4"/>
        <v>0.50048736597435362</v>
      </c>
      <c r="AN11" s="59">
        <f t="shared" ref="AN11:AQ14" si="6">(P11-O11)/O11*100</f>
        <v>0.5972033675789602</v>
      </c>
      <c r="AO11" s="59">
        <f t="shared" si="6"/>
        <v>2.4795912700616425</v>
      </c>
      <c r="AP11" s="59">
        <f t="shared" si="6"/>
        <v>1.3544855989378748</v>
      </c>
      <c r="AQ11" s="59">
        <f t="shared" si="6"/>
        <v>1.0626381763792243</v>
      </c>
      <c r="AS11" s="59">
        <f t="shared" si="5"/>
        <v>2.142926567471966</v>
      </c>
      <c r="AT11" s="59">
        <f t="shared" si="5"/>
        <v>2.7595051921724378</v>
      </c>
      <c r="AU11" s="59">
        <f t="shared" si="5"/>
        <v>2.6401078991867299</v>
      </c>
      <c r="AV11" s="59">
        <f t="shared" si="5"/>
        <v>2.1838685952439323</v>
      </c>
      <c r="AW11" s="59"/>
      <c r="AX11" s="60"/>
      <c r="AY11" s="8"/>
      <c r="AZ11" s="8" t="s">
        <v>107</v>
      </c>
      <c r="BA11" s="59">
        <v>-3.0554776966791044</v>
      </c>
      <c r="BB11" s="59"/>
      <c r="BC11" s="8" t="s">
        <v>105</v>
      </c>
      <c r="BD11" s="59">
        <v>0.53417852906286534</v>
      </c>
      <c r="BE11" s="59"/>
      <c r="BF11" s="8" t="s">
        <v>41</v>
      </c>
      <c r="BG11" s="58">
        <v>-0.959261873512402</v>
      </c>
      <c r="BH11" s="59"/>
      <c r="BI11" s="8" t="s">
        <v>59</v>
      </c>
      <c r="BJ11" s="59">
        <v>1.7915949962411408</v>
      </c>
      <c r="BK11" s="61"/>
      <c r="BL11" s="8" t="s">
        <v>39</v>
      </c>
      <c r="BM11" s="59">
        <v>1.3544855989378748</v>
      </c>
      <c r="BN11" s="59"/>
      <c r="BO11" s="8" t="s">
        <v>113</v>
      </c>
      <c r="BP11" s="59">
        <v>2.2428015564202393</v>
      </c>
    </row>
    <row r="12" spans="1:96" ht="13.75" customHeight="1" x14ac:dyDescent="0.25">
      <c r="A12" s="14" t="s">
        <v>40</v>
      </c>
      <c r="B12" s="8" t="s">
        <v>41</v>
      </c>
      <c r="C12" s="9">
        <f>Actual!M12</f>
        <v>16969.071606000001</v>
      </c>
      <c r="D12" s="9">
        <f>Actual!N12</f>
        <v>16018.874571</v>
      </c>
      <c r="E12" s="9">
        <f>Actual!O12</f>
        <v>16234.723833</v>
      </c>
      <c r="F12" s="9">
        <v>16078.990317</v>
      </c>
      <c r="G12" s="9">
        <v>16119.501561999999</v>
      </c>
      <c r="H12" s="9"/>
      <c r="I12" s="9">
        <f>Actual!AA12</f>
        <v>3807.573351</v>
      </c>
      <c r="J12" s="9">
        <f>Actual!AB12</f>
        <v>3614.9529040000002</v>
      </c>
      <c r="K12" s="9">
        <f>Actual!AC12</f>
        <v>3256.1081469999999</v>
      </c>
      <c r="L12" s="9">
        <v>3145.9461350000001</v>
      </c>
      <c r="M12" s="9">
        <v>3079.1750029999998</v>
      </c>
      <c r="N12" s="9"/>
      <c r="O12" s="9">
        <f>Actual!AO12</f>
        <v>8918.9444370000001</v>
      </c>
      <c r="P12" s="9">
        <f>Actual!AP12</f>
        <v>9004.5913440000004</v>
      </c>
      <c r="Q12" s="9">
        <f>Actual!AQ12</f>
        <v>9344.6258400000006</v>
      </c>
      <c r="R12" s="9">
        <v>9554.4120469999998</v>
      </c>
      <c r="S12" s="9">
        <v>9766.4208760000001</v>
      </c>
      <c r="T12" s="9"/>
      <c r="U12" s="9">
        <f>Actual!BD12</f>
        <v>35944.538812999999</v>
      </c>
      <c r="V12" s="9">
        <f>Actual!BE12</f>
        <v>36441.732255000003</v>
      </c>
      <c r="W12" s="9">
        <f>Actual!BF12</f>
        <v>37219.732068999998</v>
      </c>
      <c r="X12" s="9">
        <v>36770.132748999997</v>
      </c>
      <c r="Y12" s="9">
        <v>36610.442817000003</v>
      </c>
      <c r="Z12" s="56">
        <v>46006</v>
      </c>
      <c r="AA12" s="2" t="s">
        <v>152</v>
      </c>
      <c r="AC12" s="57" t="s">
        <v>40</v>
      </c>
      <c r="AD12" s="58">
        <f t="shared" ref="AD12:AG14" si="7">(D12-C12)/C12*100</f>
        <v>-5.5995817394277836</v>
      </c>
      <c r="AE12" s="58">
        <f t="shared" si="7"/>
        <v>1.347468332080991</v>
      </c>
      <c r="AF12" s="58">
        <f t="shared" si="7"/>
        <v>-0.959261873512402</v>
      </c>
      <c r="AG12" s="58">
        <f t="shared" si="7"/>
        <v>0.25195142357395384</v>
      </c>
      <c r="AH12" s="58"/>
      <c r="AI12" s="59">
        <f t="shared" si="4"/>
        <v>-5.0588768552393351</v>
      </c>
      <c r="AJ12" s="59">
        <f t="shared" si="4"/>
        <v>-9.9266786187707492</v>
      </c>
      <c r="AK12" s="59">
        <f t="shared" si="4"/>
        <v>-3.3832418036083056</v>
      </c>
      <c r="AL12" s="59">
        <f t="shared" si="4"/>
        <v>-2.1224499446173861</v>
      </c>
      <c r="AN12" s="59">
        <f t="shared" si="6"/>
        <v>0.96028075525054735</v>
      </c>
      <c r="AO12" s="59">
        <f t="shared" si="6"/>
        <v>3.776234623091189</v>
      </c>
      <c r="AP12" s="59">
        <f t="shared" si="6"/>
        <v>2.2449931178838849</v>
      </c>
      <c r="AQ12" s="59">
        <f t="shared" si="6"/>
        <v>2.218962589818064</v>
      </c>
      <c r="AS12" s="59">
        <f t="shared" si="5"/>
        <v>1.3832238732749698</v>
      </c>
      <c r="AT12" s="59">
        <f t="shared" si="5"/>
        <v>2.1349144671717668</v>
      </c>
      <c r="AU12" s="59">
        <f t="shared" si="5"/>
        <v>-1.207959582208999</v>
      </c>
      <c r="AV12" s="59">
        <f t="shared" si="5"/>
        <v>-0.43429250878714004</v>
      </c>
      <c r="AW12" s="59"/>
      <c r="AX12" s="60"/>
      <c r="AY12" s="8"/>
      <c r="AZ12" s="8" t="s">
        <v>93</v>
      </c>
      <c r="BA12" s="59">
        <v>-2.9344619034892041</v>
      </c>
      <c r="BB12" s="59"/>
      <c r="BC12" s="8" t="s">
        <v>93</v>
      </c>
      <c r="BD12" s="59">
        <v>0.75319843131492292</v>
      </c>
      <c r="BE12" s="59"/>
      <c r="BF12" s="8" t="s">
        <v>83</v>
      </c>
      <c r="BG12" s="58">
        <v>1.4884979702300449</v>
      </c>
      <c r="BH12" s="59"/>
      <c r="BI12" s="8" t="s">
        <v>75</v>
      </c>
      <c r="BJ12" s="59">
        <v>1.8589444947511431</v>
      </c>
      <c r="BK12" s="61"/>
      <c r="BL12" s="8" t="s">
        <v>69</v>
      </c>
      <c r="BM12" s="59">
        <v>1.7699448690613147</v>
      </c>
      <c r="BN12" s="59"/>
      <c r="BO12" s="8" t="s">
        <v>53</v>
      </c>
      <c r="BP12" s="59">
        <v>2.2955523672883791</v>
      </c>
    </row>
    <row r="13" spans="1:96" ht="13.75" customHeight="1" x14ac:dyDescent="0.25">
      <c r="A13" s="14" t="s">
        <v>42</v>
      </c>
      <c r="B13" s="8" t="s">
        <v>43</v>
      </c>
      <c r="C13" s="9">
        <f>Actual!M13</f>
        <v>3099.886</v>
      </c>
      <c r="D13" s="9">
        <f>Actual!N13</f>
        <v>3280.4160000000002</v>
      </c>
      <c r="E13" s="9">
        <f>Actual!O13</f>
        <v>3288.5410000000002</v>
      </c>
      <c r="F13" s="9">
        <v>2881.598</v>
      </c>
      <c r="G13" s="9">
        <v>2831.6660000000002</v>
      </c>
      <c r="H13" s="9"/>
      <c r="I13" s="9">
        <f>Actual!AA13</f>
        <v>316.83100000000002</v>
      </c>
      <c r="J13" s="9">
        <f>Actual!AB13</f>
        <v>483.67599999999999</v>
      </c>
      <c r="K13" s="9">
        <f>Actual!AC13</f>
        <v>400.09699999999998</v>
      </c>
      <c r="L13" s="9">
        <v>420.94</v>
      </c>
      <c r="M13" s="9">
        <v>429.97199999999998</v>
      </c>
      <c r="N13" s="9"/>
      <c r="O13" s="9">
        <f>Actual!AO13</f>
        <v>4408.473</v>
      </c>
      <c r="P13" s="9">
        <f>Actual!AP13</f>
        <v>4446.125</v>
      </c>
      <c r="Q13" s="9">
        <f>Actual!AQ13</f>
        <v>4596.1989999999996</v>
      </c>
      <c r="R13" s="9">
        <v>4779.8140000000003</v>
      </c>
      <c r="S13" s="9">
        <v>4929.8289999999997</v>
      </c>
      <c r="T13" s="9"/>
      <c r="U13" s="9">
        <f>Actual!BD13</f>
        <v>9200.3080000000009</v>
      </c>
      <c r="V13" s="9">
        <f>Actual!BE13</f>
        <v>9568.3130000000001</v>
      </c>
      <c r="W13" s="9">
        <f>Actual!BF13</f>
        <v>9974.1610000000001</v>
      </c>
      <c r="X13" s="9">
        <v>9505.375</v>
      </c>
      <c r="Y13" s="9">
        <v>9695.4830000000002</v>
      </c>
      <c r="Z13" s="56">
        <v>46029</v>
      </c>
      <c r="AA13" s="2" t="s">
        <v>152</v>
      </c>
      <c r="AC13" s="57" t="s">
        <v>42</v>
      </c>
      <c r="AD13" s="58">
        <f t="shared" si="7"/>
        <v>5.8237625512680209</v>
      </c>
      <c r="AE13" s="58">
        <f t="shared" si="7"/>
        <v>0.24768200130715129</v>
      </c>
      <c r="AF13" s="58">
        <f t="shared" si="7"/>
        <v>-12.374575837734733</v>
      </c>
      <c r="AG13" s="58">
        <f t="shared" si="7"/>
        <v>-1.73278854302369</v>
      </c>
      <c r="AH13" s="58"/>
      <c r="AI13" s="59">
        <f t="shared" si="4"/>
        <v>52.660566674346875</v>
      </c>
      <c r="AJ13" s="59">
        <f t="shared" si="4"/>
        <v>-17.279956003605719</v>
      </c>
      <c r="AK13" s="59">
        <f t="shared" si="4"/>
        <v>5.2094866994753817</v>
      </c>
      <c r="AL13" s="59">
        <f t="shared" si="4"/>
        <v>2.1456739677863785</v>
      </c>
      <c r="AN13" s="59">
        <f t="shared" si="6"/>
        <v>0.85408258142899007</v>
      </c>
      <c r="AO13" s="59">
        <f t="shared" si="6"/>
        <v>3.3753886811549298</v>
      </c>
      <c r="AP13" s="59">
        <f t="shared" si="6"/>
        <v>3.9949314640206115</v>
      </c>
      <c r="AQ13" s="59">
        <f t="shared" si="6"/>
        <v>3.1385112475087817</v>
      </c>
      <c r="AS13" s="59">
        <f t="shared" si="5"/>
        <v>3.9999204374462152</v>
      </c>
      <c r="AT13" s="59">
        <f t="shared" si="5"/>
        <v>4.2415836522070292</v>
      </c>
      <c r="AU13" s="59">
        <f t="shared" si="5"/>
        <v>-4.7000043412172721</v>
      </c>
      <c r="AV13" s="59">
        <f t="shared" si="5"/>
        <v>2.0000052601817413</v>
      </c>
      <c r="AW13" s="59"/>
      <c r="AX13" s="60"/>
      <c r="AY13" s="8"/>
      <c r="AZ13" s="8" t="s">
        <v>71</v>
      </c>
      <c r="BA13" s="59">
        <v>-2.0920191478719996</v>
      </c>
      <c r="BB13" s="59"/>
      <c r="BC13" s="55" t="s">
        <v>21</v>
      </c>
      <c r="BD13" s="59">
        <v>0.76241137041589069</v>
      </c>
      <c r="BE13" s="59"/>
      <c r="BF13" s="8" t="s">
        <v>109</v>
      </c>
      <c r="BG13" s="58">
        <v>1.4888254848081488</v>
      </c>
      <c r="BH13" s="70"/>
      <c r="BI13" s="8" t="s">
        <v>111</v>
      </c>
      <c r="BJ13" s="59">
        <v>2.206350328831062</v>
      </c>
      <c r="BK13" s="61"/>
      <c r="BL13" s="8" t="s">
        <v>41</v>
      </c>
      <c r="BM13" s="59">
        <v>2.2449931178838849</v>
      </c>
      <c r="BN13" s="70"/>
      <c r="BO13" s="8" t="s">
        <v>69</v>
      </c>
      <c r="BP13" s="59">
        <v>2.3362958119073913</v>
      </c>
    </row>
    <row r="14" spans="1:96" ht="13.75" customHeight="1" x14ac:dyDescent="0.25">
      <c r="A14" s="16" t="s">
        <v>44</v>
      </c>
      <c r="B14" s="8" t="s">
        <v>45</v>
      </c>
      <c r="C14" s="9">
        <f>Actual!M14</f>
        <v>2148.7127</v>
      </c>
      <c r="D14" s="9">
        <f>Actual!N14</f>
        <v>2228.701</v>
      </c>
      <c r="E14" s="9">
        <f>Actual!O14</f>
        <v>2418.855</v>
      </c>
      <c r="F14" s="9">
        <v>2514.0920000000001</v>
      </c>
      <c r="G14" s="9">
        <v>2543.145</v>
      </c>
      <c r="H14" s="9"/>
      <c r="I14" s="9">
        <f>Actual!AA14</f>
        <v>1031.8542</v>
      </c>
      <c r="J14" s="9">
        <f>Actual!AB14</f>
        <v>867.48199999999997</v>
      </c>
      <c r="K14" s="9">
        <f>Actual!AC14</f>
        <v>890.61400000000003</v>
      </c>
      <c r="L14" s="9">
        <v>497.34199999999998</v>
      </c>
      <c r="M14" s="9">
        <v>462.35300000000001</v>
      </c>
      <c r="N14" s="9"/>
      <c r="O14" s="9">
        <f>Actual!AO14</f>
        <v>2503.364</v>
      </c>
      <c r="P14" s="9">
        <f>Actual!AP14</f>
        <v>2341.9569999999999</v>
      </c>
      <c r="Q14" s="9">
        <f>Actual!AQ14</f>
        <v>2269.0970000000002</v>
      </c>
      <c r="R14" s="9">
        <v>2222.9520000000002</v>
      </c>
      <c r="S14" s="9">
        <v>2400.0549999999998</v>
      </c>
      <c r="T14" s="9"/>
      <c r="U14" s="9">
        <f>Actual!BD14</f>
        <v>5948.0487999999996</v>
      </c>
      <c r="V14" s="9">
        <f>Actual!BE14</f>
        <v>5711.2619999999997</v>
      </c>
      <c r="W14" s="9">
        <f>Actual!BF14</f>
        <v>5866.3029999999999</v>
      </c>
      <c r="X14" s="9">
        <v>5512.4059999999999</v>
      </c>
      <c r="Y14" s="9">
        <v>5680.2240000000002</v>
      </c>
      <c r="Z14" s="56">
        <v>46037</v>
      </c>
      <c r="AA14" s="2" t="s">
        <v>152</v>
      </c>
      <c r="AC14" s="57" t="s">
        <v>44</v>
      </c>
      <c r="AD14" s="58">
        <f t="shared" si="7"/>
        <v>3.72261494056418</v>
      </c>
      <c r="AE14" s="58">
        <f t="shared" si="7"/>
        <v>8.5320552196099886</v>
      </c>
      <c r="AF14" s="58">
        <f t="shared" si="7"/>
        <v>3.9372761079105647</v>
      </c>
      <c r="AG14" s="58">
        <f t="shared" si="7"/>
        <v>1.1556060796502228</v>
      </c>
      <c r="AH14" s="58"/>
      <c r="AI14" s="59">
        <f t="shared" si="4"/>
        <v>-15.929789305504597</v>
      </c>
      <c r="AJ14" s="59">
        <f t="shared" si="4"/>
        <v>2.6665682976707372</v>
      </c>
      <c r="AK14" s="59">
        <f t="shared" si="4"/>
        <v>-44.157401522994256</v>
      </c>
      <c r="AL14" s="59">
        <f t="shared" si="4"/>
        <v>-7.0351991185140159</v>
      </c>
      <c r="AN14" s="59">
        <f t="shared" si="6"/>
        <v>-6.4476041039177741</v>
      </c>
      <c r="AO14" s="59">
        <f t="shared" si="6"/>
        <v>-3.1110733459239293</v>
      </c>
      <c r="AP14" s="59">
        <f t="shared" si="6"/>
        <v>-2.0336283552443981</v>
      </c>
      <c r="AQ14" s="59">
        <f t="shared" si="6"/>
        <v>7.967018631081535</v>
      </c>
      <c r="AS14" s="59">
        <f t="shared" si="5"/>
        <v>-3.9809155567116372</v>
      </c>
      <c r="AT14" s="59">
        <f t="shared" si="5"/>
        <v>2.7146539591424834</v>
      </c>
      <c r="AU14" s="59">
        <f t="shared" si="5"/>
        <v>-6.0327091866887876</v>
      </c>
      <c r="AV14" s="59">
        <f t="shared" si="5"/>
        <v>3.0443693733734456</v>
      </c>
      <c r="AW14" s="59"/>
      <c r="AX14" s="60"/>
      <c r="AY14" s="8"/>
      <c r="AZ14" s="8" t="s">
        <v>119</v>
      </c>
      <c r="BA14" s="59">
        <v>-1.871403082784433</v>
      </c>
      <c r="BB14" s="70"/>
      <c r="BC14" s="8" t="s">
        <v>65</v>
      </c>
      <c r="BD14" s="59">
        <v>0.9609528524068911</v>
      </c>
      <c r="BE14" s="59"/>
      <c r="BF14" s="8" t="s">
        <v>67</v>
      </c>
      <c r="BG14" s="58">
        <v>2.1493756003842459</v>
      </c>
      <c r="BH14" s="59"/>
      <c r="BI14" s="8" t="s">
        <v>65</v>
      </c>
      <c r="BJ14" s="59">
        <v>2.3380987428537443</v>
      </c>
      <c r="BK14" s="61"/>
      <c r="BL14" s="8" t="s">
        <v>31</v>
      </c>
      <c r="BM14" s="59">
        <v>2.377834652699244</v>
      </c>
      <c r="BN14" s="59"/>
      <c r="BO14" s="8" t="s">
        <v>59</v>
      </c>
      <c r="BP14" s="59">
        <v>2.422141672943714</v>
      </c>
    </row>
    <row r="15" spans="1:96" ht="13.75" customHeight="1" x14ac:dyDescent="0.25">
      <c r="A15" s="14" t="s">
        <v>46</v>
      </c>
      <c r="B15" s="8" t="s">
        <v>47</v>
      </c>
      <c r="C15" s="13">
        <f>Actual!M15</f>
        <v>25309</v>
      </c>
      <c r="D15" s="13">
        <f>Actual!N15</f>
        <v>27376</v>
      </c>
      <c r="E15" s="13">
        <f>Actual!O15</f>
        <v>30123</v>
      </c>
      <c r="F15" s="13"/>
      <c r="G15" s="13"/>
      <c r="H15" s="65"/>
      <c r="I15" s="13">
        <f>Actual!AA15</f>
        <v>6256</v>
      </c>
      <c r="J15" s="13">
        <f>Actual!AB15</f>
        <v>5611</v>
      </c>
      <c r="K15" s="13">
        <f>Actual!AC15</f>
        <v>5077</v>
      </c>
      <c r="L15" s="13"/>
      <c r="M15" s="13"/>
      <c r="N15" s="13"/>
      <c r="O15" s="13">
        <f>Actual!AO15</f>
        <v>11589</v>
      </c>
      <c r="P15" s="13">
        <f>Actual!AP15</f>
        <v>11710</v>
      </c>
      <c r="Q15" s="13">
        <f>Actual!AQ15</f>
        <v>11794</v>
      </c>
      <c r="R15" s="13"/>
      <c r="S15" s="13"/>
      <c r="T15" s="13"/>
      <c r="U15" s="13">
        <f>Actual!BD15</f>
        <v>53672</v>
      </c>
      <c r="V15" s="13">
        <f>Actual!BE15</f>
        <v>54887</v>
      </c>
      <c r="W15" s="13">
        <f>Actual!BF15</f>
        <v>57594</v>
      </c>
      <c r="X15" s="13"/>
      <c r="Y15" s="13"/>
      <c r="Z15" s="56"/>
      <c r="AA15" s="2" t="s">
        <v>152</v>
      </c>
      <c r="AC15" s="66" t="s">
        <v>46</v>
      </c>
      <c r="AD15" s="67"/>
      <c r="AE15" s="67"/>
      <c r="AF15" s="67"/>
      <c r="AG15" s="67"/>
      <c r="AH15" s="67"/>
      <c r="AI15" s="67"/>
      <c r="AJ15" s="67"/>
      <c r="AK15" s="67"/>
      <c r="AL15" s="67"/>
      <c r="AM15" s="68"/>
      <c r="AN15" s="67"/>
      <c r="AO15" s="67"/>
      <c r="AP15" s="67"/>
      <c r="AQ15" s="67"/>
      <c r="AR15" s="68"/>
      <c r="AS15" s="67"/>
      <c r="AT15" s="67"/>
      <c r="AU15" s="67"/>
      <c r="AV15" s="67"/>
      <c r="AW15" s="59"/>
      <c r="AX15" s="60"/>
      <c r="AY15" s="8"/>
      <c r="AZ15" s="8" t="s">
        <v>33</v>
      </c>
      <c r="BA15" s="59">
        <v>-1.8101075005965788</v>
      </c>
      <c r="BB15" s="59"/>
      <c r="BC15" s="8" t="s">
        <v>83</v>
      </c>
      <c r="BD15" s="59">
        <v>1.2185628960329411</v>
      </c>
      <c r="BE15" s="59"/>
      <c r="BF15" s="8" t="s">
        <v>59</v>
      </c>
      <c r="BG15" s="58">
        <v>2.2598251795843991</v>
      </c>
      <c r="BH15" s="59"/>
      <c r="BI15" s="8" t="s">
        <v>61</v>
      </c>
      <c r="BJ15" s="59">
        <v>2.3858872459225386</v>
      </c>
      <c r="BK15" s="61"/>
      <c r="BL15" s="8" t="s">
        <v>105</v>
      </c>
      <c r="BM15" s="59">
        <v>2.4189668055058946</v>
      </c>
      <c r="BN15" s="59"/>
      <c r="BO15" s="8" t="s">
        <v>35</v>
      </c>
      <c r="BP15" s="59">
        <v>2.4974507550620602</v>
      </c>
    </row>
    <row r="16" spans="1:96" ht="13.75" customHeight="1" x14ac:dyDescent="0.25">
      <c r="A16" s="14" t="s">
        <v>48</v>
      </c>
      <c r="B16" s="8" t="s">
        <v>49</v>
      </c>
      <c r="C16" s="9">
        <f>Actual!M16</f>
        <v>7575.7</v>
      </c>
      <c r="D16" s="9">
        <f>Actual!N16</f>
        <v>8096.1</v>
      </c>
      <c r="E16" s="9">
        <f>Actual!O16</f>
        <v>8687.2000000000007</v>
      </c>
      <c r="F16" s="9">
        <v>8555.2999999999993</v>
      </c>
      <c r="G16" s="9">
        <v>8810.6</v>
      </c>
      <c r="H16" s="9"/>
      <c r="I16" s="9">
        <f>Actual!AA16</f>
        <v>1230.5999999999999</v>
      </c>
      <c r="J16" s="9">
        <f>Actual!AB16</f>
        <v>965.1</v>
      </c>
      <c r="K16" s="9">
        <f>Actual!AC16</f>
        <v>846.8</v>
      </c>
      <c r="L16" s="9">
        <v>1022</v>
      </c>
      <c r="M16" s="9">
        <v>1048.5</v>
      </c>
      <c r="N16" s="9"/>
      <c r="O16" s="9">
        <f>Actual!AO16</f>
        <v>10464.700000000001</v>
      </c>
      <c r="P16" s="9">
        <f>Actual!AP16</f>
        <v>10369.9</v>
      </c>
      <c r="Q16" s="9">
        <f>Actual!AQ16</f>
        <v>10633.7</v>
      </c>
      <c r="R16" s="9">
        <v>11230</v>
      </c>
      <c r="S16" s="9">
        <v>11617.7</v>
      </c>
      <c r="T16" s="9"/>
      <c r="U16" s="9">
        <f>Actual!BD16</f>
        <v>21058.2</v>
      </c>
      <c r="V16" s="9">
        <f>Actual!BE16</f>
        <v>21484.6</v>
      </c>
      <c r="W16" s="9">
        <f>Actual!BF16</f>
        <v>22228</v>
      </c>
      <c r="X16" s="9">
        <v>23153.1</v>
      </c>
      <c r="Y16" s="9">
        <v>23782.1</v>
      </c>
      <c r="Z16" s="56">
        <v>46009</v>
      </c>
      <c r="AA16" s="2" t="s">
        <v>152</v>
      </c>
      <c r="AC16" s="57" t="s">
        <v>48</v>
      </c>
      <c r="AD16" s="58">
        <f t="shared" ref="AD16:AG18" si="8">(D16-C16)/C16*100</f>
        <v>6.8693322069247804</v>
      </c>
      <c r="AE16" s="58">
        <f t="shared" si="8"/>
        <v>7.3010461827299604</v>
      </c>
      <c r="AF16" s="58">
        <f t="shared" si="8"/>
        <v>-1.5183258126899513</v>
      </c>
      <c r="AG16" s="58">
        <f t="shared" si="8"/>
        <v>2.9841151099318681</v>
      </c>
      <c r="AH16" s="58"/>
      <c r="AI16" s="59">
        <f t="shared" ref="AI16:AL18" si="9">(J16-I16)/I16*100</f>
        <v>-21.574841540711841</v>
      </c>
      <c r="AJ16" s="59">
        <f t="shared" si="9"/>
        <v>-12.257797119469492</v>
      </c>
      <c r="AK16" s="59">
        <f t="shared" si="9"/>
        <v>20.689655172413797</v>
      </c>
      <c r="AL16" s="59">
        <f t="shared" si="9"/>
        <v>2.5929549902152642</v>
      </c>
      <c r="AN16" s="59">
        <f t="shared" ref="AN16:AQ18" si="10">(P16-O16)/O16*100</f>
        <v>-0.9059027014630241</v>
      </c>
      <c r="AO16" s="59">
        <f t="shared" si="10"/>
        <v>2.5439010983712582</v>
      </c>
      <c r="AP16" s="59">
        <f t="shared" si="10"/>
        <v>5.6076436235741021</v>
      </c>
      <c r="AQ16" s="59">
        <f t="shared" si="10"/>
        <v>3.4523597506678607</v>
      </c>
      <c r="AS16" s="59">
        <f t="shared" ref="AS16:AV18" si="11">(V16-U16)/U16*100</f>
        <v>2.0248644233600106</v>
      </c>
      <c r="AT16" s="59">
        <f t="shared" si="11"/>
        <v>3.4601528536719397</v>
      </c>
      <c r="AU16" s="59">
        <f t="shared" si="11"/>
        <v>4.161867914342265</v>
      </c>
      <c r="AV16" s="59">
        <f t="shared" si="11"/>
        <v>2.7166988437833379</v>
      </c>
      <c r="AW16" s="59"/>
      <c r="AX16" s="60"/>
      <c r="AY16" s="8"/>
      <c r="AZ16" s="8" t="s">
        <v>41</v>
      </c>
      <c r="BA16" s="59">
        <v>-1.207959582208999</v>
      </c>
      <c r="BB16" s="59"/>
      <c r="BC16" s="8" t="s">
        <v>97</v>
      </c>
      <c r="BD16" s="59">
        <v>1.2541390728476822</v>
      </c>
      <c r="BE16" s="59"/>
      <c r="BF16" s="8" t="s">
        <v>33</v>
      </c>
      <c r="BG16" s="58">
        <v>2.2794786905250066</v>
      </c>
      <c r="BH16" s="59"/>
      <c r="BI16" s="8" t="s">
        <v>101</v>
      </c>
      <c r="BJ16" s="59">
        <v>2.3990722285442456</v>
      </c>
      <c r="BK16" s="61"/>
      <c r="BL16" s="8" t="s">
        <v>71</v>
      </c>
      <c r="BM16" s="59">
        <v>2.6474394048985985</v>
      </c>
      <c r="BN16" s="59"/>
      <c r="BO16" s="8" t="s">
        <v>97</v>
      </c>
      <c r="BP16" s="59">
        <v>2.5573770491803276</v>
      </c>
    </row>
    <row r="17" spans="1:68" ht="13.75" customHeight="1" x14ac:dyDescent="0.25">
      <c r="A17" s="14" t="s">
        <v>50</v>
      </c>
      <c r="B17" s="8" t="s">
        <v>51</v>
      </c>
      <c r="C17" s="9">
        <f>Actual!M17</f>
        <v>5599.3</v>
      </c>
      <c r="D17" s="9">
        <f>Actual!N17</f>
        <v>4993.2</v>
      </c>
      <c r="E17" s="9">
        <f>Actual!O17</f>
        <v>4947.5</v>
      </c>
      <c r="F17" s="9">
        <v>4380</v>
      </c>
      <c r="G17" s="9">
        <v>4605.2</v>
      </c>
      <c r="H17" s="9"/>
      <c r="I17" s="9">
        <f>Actual!AA17</f>
        <v>984.1</v>
      </c>
      <c r="J17" s="9">
        <f>Actual!AB17</f>
        <v>890.5</v>
      </c>
      <c r="K17" s="9">
        <f>Actual!AC17</f>
        <v>825.1</v>
      </c>
      <c r="L17" s="9">
        <v>723</v>
      </c>
      <c r="M17" s="9">
        <v>702</v>
      </c>
      <c r="N17" s="9"/>
      <c r="O17" s="9">
        <f>Actual!AO17</f>
        <v>3937.1</v>
      </c>
      <c r="P17" s="9">
        <f>Actual!AP17</f>
        <v>4170.3999999999996</v>
      </c>
      <c r="Q17" s="9">
        <f>Actual!AQ17</f>
        <v>4234.8999999999996</v>
      </c>
      <c r="R17" s="9">
        <v>4402</v>
      </c>
      <c r="S17" s="9">
        <v>4546.7</v>
      </c>
      <c r="T17" s="9"/>
      <c r="U17" s="9">
        <f>Actual!BD17</f>
        <v>9845.2999999999993</v>
      </c>
      <c r="V17" s="9">
        <f>Actual!BE17</f>
        <v>9755.7999999999993</v>
      </c>
      <c r="W17" s="9">
        <f>Actual!BF17</f>
        <v>8942.2000000000007</v>
      </c>
      <c r="X17" s="9">
        <v>8157.5</v>
      </c>
      <c r="Y17" s="9">
        <v>8498.5</v>
      </c>
      <c r="Z17" s="56">
        <v>46002</v>
      </c>
      <c r="AA17" s="2" t="s">
        <v>152</v>
      </c>
      <c r="AC17" s="57" t="s">
        <v>50</v>
      </c>
      <c r="AD17" s="58">
        <f t="shared" si="8"/>
        <v>-10.824567356633871</v>
      </c>
      <c r="AE17" s="58">
        <f t="shared" si="8"/>
        <v>-0.9152447328366542</v>
      </c>
      <c r="AF17" s="58">
        <f t="shared" si="8"/>
        <v>-11.47043961596766</v>
      </c>
      <c r="AG17" s="58">
        <f t="shared" si="8"/>
        <v>5.1415525114155214</v>
      </c>
      <c r="AH17" s="58"/>
      <c r="AI17" s="59">
        <f t="shared" si="9"/>
        <v>-9.5112285336856033</v>
      </c>
      <c r="AJ17" s="59">
        <f t="shared" si="9"/>
        <v>-7.3441886580572682</v>
      </c>
      <c r="AK17" s="59">
        <f t="shared" si="9"/>
        <v>-12.374257665737488</v>
      </c>
      <c r="AL17" s="59">
        <f t="shared" si="9"/>
        <v>-2.904564315352697</v>
      </c>
      <c r="AN17" s="59">
        <f t="shared" si="10"/>
        <v>5.9256813390566592</v>
      </c>
      <c r="AO17" s="59">
        <f t="shared" si="10"/>
        <v>1.5466142336466526</v>
      </c>
      <c r="AP17" s="59">
        <f t="shared" si="10"/>
        <v>3.9457838437743602</v>
      </c>
      <c r="AQ17" s="59">
        <f t="shared" si="10"/>
        <v>3.2871422080872295</v>
      </c>
      <c r="AS17" s="59">
        <f t="shared" si="11"/>
        <v>-0.90906320782505357</v>
      </c>
      <c r="AT17" s="59">
        <f t="shared" si="11"/>
        <v>-8.3396543594579491</v>
      </c>
      <c r="AU17" s="59">
        <f t="shared" si="11"/>
        <v>-8.7752454653217402</v>
      </c>
      <c r="AV17" s="59">
        <f t="shared" si="11"/>
        <v>4.1802022678516702</v>
      </c>
      <c r="AW17" s="59"/>
      <c r="AX17" s="60"/>
      <c r="AY17" s="8"/>
      <c r="AZ17" s="8" t="s">
        <v>101</v>
      </c>
      <c r="BA17" s="59">
        <v>-1.1922333562773981</v>
      </c>
      <c r="BB17" s="59"/>
      <c r="BC17" s="8" t="s">
        <v>63</v>
      </c>
      <c r="BD17" s="59">
        <v>1.2825412526415179</v>
      </c>
      <c r="BE17" s="59"/>
      <c r="BF17" s="55" t="s">
        <v>21</v>
      </c>
      <c r="BG17" s="58">
        <v>2.8262183025936882</v>
      </c>
      <c r="BH17" s="59"/>
      <c r="BI17" s="55" t="s">
        <v>21</v>
      </c>
      <c r="BJ17" s="59">
        <v>2.5664866957451951</v>
      </c>
      <c r="BK17" s="61"/>
      <c r="BL17" s="8" t="s">
        <v>111</v>
      </c>
      <c r="BM17" s="59">
        <v>2.6532923475165791</v>
      </c>
      <c r="BN17" s="59"/>
      <c r="BO17" s="8" t="s">
        <v>111</v>
      </c>
      <c r="BP17" s="59">
        <v>2.6162332545311302</v>
      </c>
    </row>
    <row r="18" spans="1:68" ht="13.75" customHeight="1" x14ac:dyDescent="0.25">
      <c r="A18" s="14" t="s">
        <v>52</v>
      </c>
      <c r="B18" s="8" t="s">
        <v>53</v>
      </c>
      <c r="C18" s="9">
        <f>Actual!M18</f>
        <v>4507.0066580000002</v>
      </c>
      <c r="D18" s="9">
        <f>Actual!N18</f>
        <v>4503.6154130000004</v>
      </c>
      <c r="E18" s="9">
        <f>Actual!O18</f>
        <v>4675.7359999999999</v>
      </c>
      <c r="F18" s="9">
        <v>4945</v>
      </c>
      <c r="G18" s="9">
        <v>5105</v>
      </c>
      <c r="H18" s="9"/>
      <c r="I18" s="9">
        <f>Actual!AA18</f>
        <v>1561.51929</v>
      </c>
      <c r="J18" s="9">
        <f>Actual!AB18</f>
        <v>1465.780117</v>
      </c>
      <c r="K18" s="9">
        <f>Actual!AC18</f>
        <v>1362.5440000000001</v>
      </c>
      <c r="L18" s="9">
        <f>1145+43</f>
        <v>1188</v>
      </c>
      <c r="M18" s="9">
        <f>1040+44</f>
        <v>1084</v>
      </c>
      <c r="N18" s="9"/>
      <c r="O18" s="9">
        <f>Actual!AO18</f>
        <v>3579.84807</v>
      </c>
      <c r="P18" s="9">
        <f>Actual!AP18</f>
        <v>3539.4831020000001</v>
      </c>
      <c r="Q18" s="9">
        <f>Actual!AQ18</f>
        <v>3475.46</v>
      </c>
      <c r="R18" s="9">
        <v>3485</v>
      </c>
      <c r="S18" s="9">
        <v>3565</v>
      </c>
      <c r="T18" s="9"/>
      <c r="U18" s="9">
        <f>Actual!BD18</f>
        <v>9282.8100190000005</v>
      </c>
      <c r="V18" s="9">
        <f>Actual!BE18</f>
        <v>10139.560616999999</v>
      </c>
      <c r="W18" s="9">
        <f>Actual!BF18</f>
        <v>10022.038</v>
      </c>
      <c r="X18" s="9">
        <v>10226.799999999999</v>
      </c>
      <c r="Y18" s="9">
        <v>10132.9</v>
      </c>
      <c r="Z18" s="56">
        <v>45982</v>
      </c>
      <c r="AA18" s="2" t="s">
        <v>152</v>
      </c>
      <c r="AC18" s="57" t="s">
        <v>52</v>
      </c>
      <c r="AD18" s="58">
        <f t="shared" si="8"/>
        <v>-7.5243842695024446E-2</v>
      </c>
      <c r="AE18" s="58">
        <f t="shared" si="8"/>
        <v>3.8218313780337758</v>
      </c>
      <c r="AF18" s="58">
        <f t="shared" si="8"/>
        <v>5.7587511356500904</v>
      </c>
      <c r="AG18" s="58">
        <f t="shared" si="8"/>
        <v>3.2355915065722956</v>
      </c>
      <c r="AH18" s="58"/>
      <c r="AI18" s="59">
        <f t="shared" si="9"/>
        <v>-6.1311553186128069</v>
      </c>
      <c r="AJ18" s="59">
        <f t="shared" si="9"/>
        <v>-7.0430834613374644</v>
      </c>
      <c r="AK18" s="59">
        <f t="shared" si="9"/>
        <v>-12.810155121596079</v>
      </c>
      <c r="AL18" s="59">
        <f t="shared" si="9"/>
        <v>-8.7542087542087543</v>
      </c>
      <c r="AN18" s="59">
        <f t="shared" si="10"/>
        <v>-1.1275609246735396</v>
      </c>
      <c r="AO18" s="59">
        <f t="shared" si="10"/>
        <v>-1.8088263216689346</v>
      </c>
      <c r="AP18" s="59">
        <f t="shared" si="10"/>
        <v>0.27449603793454574</v>
      </c>
      <c r="AQ18" s="59">
        <f t="shared" si="10"/>
        <v>2.2955523672883791</v>
      </c>
      <c r="AS18" s="59">
        <f t="shared" si="11"/>
        <v>9.2294315648645906</v>
      </c>
      <c r="AT18" s="59">
        <f t="shared" si="11"/>
        <v>-1.1590503912266195</v>
      </c>
      <c r="AU18" s="59">
        <f t="shared" si="11"/>
        <v>2.0431173779225222</v>
      </c>
      <c r="AV18" s="59">
        <f t="shared" si="11"/>
        <v>-0.91817577345796964</v>
      </c>
      <c r="AW18" s="59"/>
      <c r="AX18" s="60"/>
      <c r="AY18" s="8"/>
      <c r="AZ18" s="8" t="s">
        <v>69</v>
      </c>
      <c r="BA18" s="59">
        <v>-1.1872525367414695</v>
      </c>
      <c r="BB18" s="59"/>
      <c r="BC18" s="8" t="s">
        <v>37</v>
      </c>
      <c r="BD18" s="59">
        <v>1.3358806457728765</v>
      </c>
      <c r="BE18" s="59"/>
      <c r="BF18" s="8" t="s">
        <v>111</v>
      </c>
      <c r="BG18" s="58">
        <v>3.7566952821189972</v>
      </c>
      <c r="BH18" s="59"/>
      <c r="BI18" s="8" t="s">
        <v>83</v>
      </c>
      <c r="BJ18" s="59">
        <v>2.616091954022993</v>
      </c>
      <c r="BK18" s="61"/>
      <c r="BL18" s="8" t="s">
        <v>27</v>
      </c>
      <c r="BM18" s="59">
        <v>2.9833338078677483</v>
      </c>
      <c r="BN18" s="59"/>
      <c r="BO18" s="8" t="s">
        <v>71</v>
      </c>
      <c r="BP18" s="59">
        <v>2.6324538338320296</v>
      </c>
    </row>
    <row r="19" spans="1:68" ht="13.75" customHeight="1" x14ac:dyDescent="0.25">
      <c r="A19" s="14" t="s">
        <v>54</v>
      </c>
      <c r="B19" s="8" t="s">
        <v>55</v>
      </c>
      <c r="C19" s="13">
        <f>Actual!M19</f>
        <v>5843.9</v>
      </c>
      <c r="D19" s="13">
        <f>Actual!N19</f>
        <v>5807.499108</v>
      </c>
      <c r="E19" s="13">
        <f>Actual!O19</f>
        <v>5319.2</v>
      </c>
      <c r="F19" s="13"/>
      <c r="G19" s="13"/>
      <c r="H19" s="65"/>
      <c r="I19" s="13">
        <f>Actual!AA19</f>
        <v>1221.5999999999999</v>
      </c>
      <c r="J19" s="13">
        <f>Actual!AB19</f>
        <v>1249.0999999999999</v>
      </c>
      <c r="K19" s="13">
        <f>Actual!AC19</f>
        <v>1834.5</v>
      </c>
      <c r="L19" s="13"/>
      <c r="M19" s="13"/>
      <c r="N19" s="13"/>
      <c r="O19" s="13">
        <f>Actual!AO19</f>
        <v>5576.3</v>
      </c>
      <c r="P19" s="13">
        <f>Actual!AP19</f>
        <v>5802.5821560000004</v>
      </c>
      <c r="Q19" s="13">
        <f>Actual!AQ19</f>
        <v>5821.3</v>
      </c>
      <c r="R19" s="13"/>
      <c r="S19" s="13"/>
      <c r="T19" s="13"/>
      <c r="U19" s="13">
        <f>Actual!BD19</f>
        <v>15147.7</v>
      </c>
      <c r="V19" s="13">
        <f>Actual!BE19</f>
        <v>15571.258639</v>
      </c>
      <c r="W19" s="13">
        <f>Actual!BF19</f>
        <v>15703.2</v>
      </c>
      <c r="X19" s="13"/>
      <c r="Y19" s="13"/>
      <c r="Z19" s="56"/>
      <c r="AA19" s="2" t="s">
        <v>152</v>
      </c>
      <c r="AC19" s="66" t="s">
        <v>54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8"/>
      <c r="AN19" s="67"/>
      <c r="AO19" s="67"/>
      <c r="AP19" s="67"/>
      <c r="AQ19" s="67"/>
      <c r="AR19" s="68"/>
      <c r="AS19" s="67"/>
      <c r="AT19" s="67"/>
      <c r="AU19" s="67"/>
      <c r="AV19" s="67"/>
      <c r="AW19" s="59"/>
      <c r="AX19" s="60"/>
      <c r="AY19" s="8"/>
      <c r="AZ19" s="8" t="s">
        <v>111</v>
      </c>
      <c r="BA19" s="59">
        <v>-0.32055518836749081</v>
      </c>
      <c r="BB19" s="59"/>
      <c r="BC19" s="8" t="s">
        <v>59</v>
      </c>
      <c r="BD19" s="59">
        <v>1.3709296486289511</v>
      </c>
      <c r="BE19" s="59"/>
      <c r="BF19" s="8" t="s">
        <v>45</v>
      </c>
      <c r="BG19" s="58">
        <v>3.9372761079105647</v>
      </c>
      <c r="BH19" s="59"/>
      <c r="BI19" s="8" t="s">
        <v>67</v>
      </c>
      <c r="BJ19" s="59">
        <v>2.8505936287763016</v>
      </c>
      <c r="BK19" s="61"/>
      <c r="BL19" s="8" t="s">
        <v>35</v>
      </c>
      <c r="BM19" s="59">
        <v>3.0003750513680951</v>
      </c>
      <c r="BN19" s="59"/>
      <c r="BO19" s="8" t="s">
        <v>83</v>
      </c>
      <c r="BP19" s="59">
        <v>2.6740677107425395</v>
      </c>
    </row>
    <row r="20" spans="1:68" ht="13.75" customHeight="1" x14ac:dyDescent="0.25">
      <c r="A20" s="14" t="s">
        <v>56</v>
      </c>
      <c r="B20" s="8" t="s">
        <v>57</v>
      </c>
      <c r="C20" s="9">
        <f>Actual!M20</f>
        <v>4654.6000000000004</v>
      </c>
      <c r="D20" s="9">
        <f>Actual!N20</f>
        <v>4797.8999999999996</v>
      </c>
      <c r="E20" s="9">
        <f>Actual!O20</f>
        <v>4768.2</v>
      </c>
      <c r="F20" s="9">
        <v>3992.5</v>
      </c>
      <c r="G20" s="9">
        <v>4026.6</v>
      </c>
      <c r="H20" s="9"/>
      <c r="I20" s="9">
        <f>Actual!AA20</f>
        <v>1616.8</v>
      </c>
      <c r="J20" s="9">
        <f>Actual!AB20</f>
        <v>1636</v>
      </c>
      <c r="K20" s="9">
        <f>Actual!AC20</f>
        <v>1451.9</v>
      </c>
      <c r="L20" s="9">
        <v>900</v>
      </c>
      <c r="M20" s="9">
        <v>800</v>
      </c>
      <c r="N20" s="9"/>
      <c r="O20" s="9">
        <f>Actual!AO20</f>
        <v>4445</v>
      </c>
      <c r="P20" s="9">
        <f>Actual!AP20</f>
        <v>4482.3999999999996</v>
      </c>
      <c r="Q20" s="9">
        <f>Actual!AQ20</f>
        <v>4869.5</v>
      </c>
      <c r="R20" s="9">
        <v>5405.1</v>
      </c>
      <c r="S20" s="9">
        <v>5415.7</v>
      </c>
      <c r="U20" s="9">
        <f>Actual!BD20</f>
        <v>16656.900000000001</v>
      </c>
      <c r="V20" s="9">
        <f>Actual!BE20</f>
        <v>17105.3</v>
      </c>
      <c r="W20" s="9">
        <f>Actual!BF20</f>
        <v>16785</v>
      </c>
      <c r="X20" s="9">
        <v>16031.7</v>
      </c>
      <c r="Y20" s="9">
        <v>16013.9</v>
      </c>
      <c r="Z20" s="56">
        <v>46002</v>
      </c>
      <c r="AA20" s="2" t="s">
        <v>155</v>
      </c>
      <c r="AC20" s="57" t="s">
        <v>56</v>
      </c>
      <c r="AD20" s="58">
        <f t="shared" ref="AD20:AG27" si="12">(D20-C20)/C20*100</f>
        <v>3.0786748592789768</v>
      </c>
      <c r="AE20" s="58">
        <f t="shared" si="12"/>
        <v>-0.61902082160945038</v>
      </c>
      <c r="AF20" s="58">
        <f t="shared" si="12"/>
        <v>-16.268193448261396</v>
      </c>
      <c r="AG20" s="58">
        <f t="shared" si="12"/>
        <v>0.85410144020037337</v>
      </c>
      <c r="AH20" s="58"/>
      <c r="AI20" s="59">
        <f t="shared" ref="AI20:AL27" si="13">(J20-I20)/I20*100</f>
        <v>1.1875309252845154</v>
      </c>
      <c r="AJ20" s="59">
        <f t="shared" si="13"/>
        <v>-11.253056234718821</v>
      </c>
      <c r="AK20" s="59">
        <f t="shared" si="13"/>
        <v>-38.012259797506722</v>
      </c>
      <c r="AL20" s="59">
        <f t="shared" si="13"/>
        <v>-11.111111111111111</v>
      </c>
      <c r="AN20" s="59">
        <f t="shared" ref="AN20:AQ27" si="14">(P20-O20)/O20*100</f>
        <v>0.84139482564678603</v>
      </c>
      <c r="AO20" s="59">
        <f t="shared" si="14"/>
        <v>8.6359985721934756</v>
      </c>
      <c r="AP20" s="59">
        <f t="shared" si="14"/>
        <v>10.99907588048055</v>
      </c>
      <c r="AQ20" s="59">
        <f t="shared" si="14"/>
        <v>0.19611108027602547</v>
      </c>
      <c r="AS20" s="59">
        <f t="shared" ref="AS20:AV27" si="15">(V20-U20)/U20*100</f>
        <v>2.6919774988142917</v>
      </c>
      <c r="AT20" s="59">
        <f t="shared" si="15"/>
        <v>-1.8725190438051325</v>
      </c>
      <c r="AU20" s="59">
        <f t="shared" si="15"/>
        <v>-4.4879356568364566</v>
      </c>
      <c r="AV20" s="59">
        <f t="shared" si="15"/>
        <v>-0.11103002176937624</v>
      </c>
      <c r="AW20" s="59"/>
      <c r="AX20" s="60"/>
      <c r="AY20" s="8"/>
      <c r="AZ20" s="8" t="s">
        <v>105</v>
      </c>
      <c r="BA20" s="59">
        <v>0.29225995859367826</v>
      </c>
      <c r="BB20" s="59"/>
      <c r="BC20" s="8" t="s">
        <v>61</v>
      </c>
      <c r="BD20" s="59">
        <v>1.3976416355062782</v>
      </c>
      <c r="BE20" s="59"/>
      <c r="BF20" s="8" t="s">
        <v>97</v>
      </c>
      <c r="BG20" s="58">
        <v>3.9485137024239703</v>
      </c>
      <c r="BH20" s="59"/>
      <c r="BI20" s="8" t="s">
        <v>49</v>
      </c>
      <c r="BJ20" s="59">
        <v>2.9841151099318681</v>
      </c>
      <c r="BK20" s="61"/>
      <c r="BL20" s="8" t="s">
        <v>99</v>
      </c>
      <c r="BM20" s="59">
        <v>3.1859259648346474</v>
      </c>
      <c r="BN20" s="59"/>
      <c r="BO20" s="8" t="s">
        <v>99</v>
      </c>
      <c r="BP20" s="59">
        <v>2.8041714947856367</v>
      </c>
    </row>
    <row r="21" spans="1:68" ht="13.75" customHeight="1" x14ac:dyDescent="0.25">
      <c r="A21" s="42" t="s">
        <v>58</v>
      </c>
      <c r="B21" s="8" t="s">
        <v>59</v>
      </c>
      <c r="C21" s="9">
        <f>Actual!M21</f>
        <v>2473.4789470000001</v>
      </c>
      <c r="D21" s="9">
        <f>Actual!N21</f>
        <v>2388.9910949999999</v>
      </c>
      <c r="E21" s="9">
        <f>Actual!O21</f>
        <v>2723.9713299999999</v>
      </c>
      <c r="F21" s="9">
        <v>2785.5283199999999</v>
      </c>
      <c r="G21" s="9">
        <v>2835.4337059999998</v>
      </c>
      <c r="H21" s="9"/>
      <c r="I21" s="9">
        <f>Actual!AA21</f>
        <v>451.21105599999999</v>
      </c>
      <c r="J21" s="9">
        <f>Actual!AB21</f>
        <v>459.75287300000002</v>
      </c>
      <c r="K21" s="9">
        <f>Actual!AC21</f>
        <v>410.11826500000001</v>
      </c>
      <c r="L21" s="9">
        <v>372</v>
      </c>
      <c r="M21" s="9">
        <v>379.99999800000001</v>
      </c>
      <c r="N21" s="10"/>
      <c r="O21" s="9">
        <f>Actual!AO21</f>
        <v>2173.0458090000002</v>
      </c>
      <c r="P21" s="9">
        <f>Actual!AP21</f>
        <v>2262.2336890000001</v>
      </c>
      <c r="Q21" s="9">
        <f>Actual!AQ21</f>
        <v>2313.9056860000001</v>
      </c>
      <c r="R21" s="9">
        <v>2399.4829719999998</v>
      </c>
      <c r="S21" s="9">
        <v>2457.6018490000001</v>
      </c>
      <c r="U21" s="9">
        <f>Actual!BD21</f>
        <v>5379.492013</v>
      </c>
      <c r="V21" s="9">
        <f>Actual!BE21</f>
        <v>5352.7626550000004</v>
      </c>
      <c r="W21" s="9">
        <f>Actual!BF21</f>
        <v>5722.4058429999995</v>
      </c>
      <c r="X21" s="9">
        <v>5776.0528469999999</v>
      </c>
      <c r="Y21" s="9">
        <v>5855.2384679999996</v>
      </c>
      <c r="Z21" s="56">
        <v>45992</v>
      </c>
      <c r="AA21" s="2" t="s">
        <v>152</v>
      </c>
      <c r="AC21" s="57" t="s">
        <v>58</v>
      </c>
      <c r="AD21" s="58">
        <f t="shared" si="12"/>
        <v>-3.4157497925127962</v>
      </c>
      <c r="AE21" s="58">
        <f t="shared" si="12"/>
        <v>14.021828532600706</v>
      </c>
      <c r="AF21" s="58">
        <f t="shared" si="12"/>
        <v>2.2598251795843991</v>
      </c>
      <c r="AG21" s="58">
        <f t="shared" si="12"/>
        <v>1.7915949962411408</v>
      </c>
      <c r="AH21" s="58"/>
      <c r="AI21" s="59">
        <f t="shared" si="13"/>
        <v>1.8930868130146254</v>
      </c>
      <c r="AJ21" s="59">
        <f t="shared" si="13"/>
        <v>-10.795932100678794</v>
      </c>
      <c r="AK21" s="59">
        <f t="shared" si="13"/>
        <v>-9.2944568074772302</v>
      </c>
      <c r="AL21" s="59">
        <f t="shared" si="13"/>
        <v>2.1505370967741948</v>
      </c>
      <c r="AN21" s="59">
        <f t="shared" si="14"/>
        <v>4.1042797915540827</v>
      </c>
      <c r="AO21" s="59">
        <f t="shared" si="14"/>
        <v>2.2841140263825288</v>
      </c>
      <c r="AP21" s="59">
        <f t="shared" si="14"/>
        <v>3.6983912748810166</v>
      </c>
      <c r="AQ21" s="59">
        <f t="shared" si="14"/>
        <v>2.422141672943714</v>
      </c>
      <c r="AS21" s="59">
        <f t="shared" si="15"/>
        <v>-0.4968751312467018</v>
      </c>
      <c r="AT21" s="59">
        <f t="shared" si="15"/>
        <v>6.905652498055681</v>
      </c>
      <c r="AU21" s="59">
        <f t="shared" si="15"/>
        <v>0.93749037506007571</v>
      </c>
      <c r="AV21" s="59">
        <f t="shared" si="15"/>
        <v>1.3709296486289511</v>
      </c>
      <c r="AW21" s="59"/>
      <c r="AX21" s="60"/>
      <c r="AY21" s="55"/>
      <c r="AZ21" s="8" t="s">
        <v>65</v>
      </c>
      <c r="BA21" s="59">
        <v>0.41513901734366138</v>
      </c>
      <c r="BB21" s="59"/>
      <c r="BC21" s="8" t="s">
        <v>43</v>
      </c>
      <c r="BD21" s="59">
        <v>2.0000052601817413</v>
      </c>
      <c r="BE21" s="59"/>
      <c r="BF21" s="8" t="s">
        <v>99</v>
      </c>
      <c r="BG21" s="58">
        <v>4.1062164277670625</v>
      </c>
      <c r="BH21" s="59"/>
      <c r="BI21" s="8" t="s">
        <v>71</v>
      </c>
      <c r="BJ21" s="59">
        <v>3.1502274310535592</v>
      </c>
      <c r="BK21" s="61"/>
      <c r="BL21" s="8" t="s">
        <v>113</v>
      </c>
      <c r="BM21" s="59">
        <v>3.2100825568213609</v>
      </c>
      <c r="BN21" s="59"/>
      <c r="BO21" s="8" t="s">
        <v>85</v>
      </c>
      <c r="BP21" s="59">
        <v>2.8903696787063371</v>
      </c>
    </row>
    <row r="22" spans="1:68" ht="13.75" customHeight="1" x14ac:dyDescent="0.25">
      <c r="A22" s="12" t="s">
        <v>60</v>
      </c>
      <c r="B22" s="8" t="s">
        <v>61</v>
      </c>
      <c r="C22" s="9">
        <f>Actual!M22</f>
        <v>13469.498</v>
      </c>
      <c r="D22" s="9">
        <f>Actual!N22</f>
        <v>13616.685217</v>
      </c>
      <c r="E22" s="9">
        <f>Actual!O22</f>
        <v>14565.248</v>
      </c>
      <c r="F22" s="9">
        <v>15420.888000000001</v>
      </c>
      <c r="G22" s="9">
        <v>15788.813</v>
      </c>
      <c r="H22" s="9"/>
      <c r="I22" s="9">
        <f>Actual!AA22</f>
        <v>1816.002</v>
      </c>
      <c r="J22" s="9">
        <f>Actual!AB22</f>
        <v>1903.957204</v>
      </c>
      <c r="K22" s="9">
        <f>Actual!AC22</f>
        <v>1876.7090000000001</v>
      </c>
      <c r="L22" s="9">
        <v>1694.19</v>
      </c>
      <c r="M22" s="9">
        <v>1657.9659999999999</v>
      </c>
      <c r="N22" s="10"/>
      <c r="O22" s="9">
        <f>Actual!AO22</f>
        <v>6005.2489999999998</v>
      </c>
      <c r="P22" s="9">
        <f>Actual!AP22</f>
        <v>5896.6057039999996</v>
      </c>
      <c r="Q22" s="9">
        <f>Actual!AQ22</f>
        <v>6048.5649999999996</v>
      </c>
      <c r="R22" s="9">
        <v>6562.5829999999996</v>
      </c>
      <c r="S22" s="9">
        <v>6869.808</v>
      </c>
      <c r="U22" s="9">
        <f>Actual!BD22</f>
        <v>23672.681</v>
      </c>
      <c r="V22" s="9">
        <f>Actual!BE22</f>
        <v>24862.788788999998</v>
      </c>
      <c r="W22" s="9">
        <f>Actual!BF22</f>
        <v>25715.684000000001</v>
      </c>
      <c r="X22" s="9">
        <v>26762.868999999999</v>
      </c>
      <c r="Y22" s="9">
        <v>27136.918000000001</v>
      </c>
      <c r="Z22" s="56">
        <v>46003</v>
      </c>
      <c r="AA22" s="2" t="s">
        <v>152</v>
      </c>
      <c r="AC22" s="57" t="s">
        <v>60</v>
      </c>
      <c r="AD22" s="58">
        <f t="shared" si="12"/>
        <v>1.0927446368082954</v>
      </c>
      <c r="AE22" s="58">
        <f t="shared" si="12"/>
        <v>6.966179858632179</v>
      </c>
      <c r="AF22" s="58">
        <f t="shared" si="12"/>
        <v>5.8745309382991708</v>
      </c>
      <c r="AG22" s="58">
        <f t="shared" si="12"/>
        <v>2.3858872459225386</v>
      </c>
      <c r="AH22" s="58"/>
      <c r="AI22" s="59">
        <f t="shared" si="13"/>
        <v>4.8433429038073799</v>
      </c>
      <c r="AJ22" s="59">
        <f t="shared" si="13"/>
        <v>-1.43113531873272</v>
      </c>
      <c r="AK22" s="59">
        <f t="shared" si="13"/>
        <v>-9.7254822138115173</v>
      </c>
      <c r="AL22" s="59">
        <f t="shared" si="13"/>
        <v>-2.1381309062147786</v>
      </c>
      <c r="AN22" s="59">
        <f t="shared" si="14"/>
        <v>-1.8091389049812956</v>
      </c>
      <c r="AO22" s="59">
        <f t="shared" si="14"/>
        <v>2.5770638843448093</v>
      </c>
      <c r="AP22" s="59">
        <f t="shared" si="14"/>
        <v>8.4981809735036347</v>
      </c>
      <c r="AQ22" s="59">
        <f t="shared" si="14"/>
        <v>4.6814646001429674</v>
      </c>
      <c r="AS22" s="59">
        <f t="shared" si="15"/>
        <v>5.0273468771872425</v>
      </c>
      <c r="AT22" s="59">
        <f t="shared" si="15"/>
        <v>3.4304084639827197</v>
      </c>
      <c r="AU22" s="59">
        <f t="shared" si="15"/>
        <v>4.0721646758452845</v>
      </c>
      <c r="AV22" s="59">
        <f t="shared" si="15"/>
        <v>1.3976416355062782</v>
      </c>
      <c r="AW22" s="59"/>
      <c r="AX22" s="60"/>
      <c r="AY22" s="8"/>
      <c r="AZ22" s="55" t="s">
        <v>21</v>
      </c>
      <c r="BA22" s="59">
        <v>0.52705133335679943</v>
      </c>
      <c r="BB22" s="59"/>
      <c r="BC22" s="8" t="s">
        <v>39</v>
      </c>
      <c r="BD22" s="59">
        <v>2.1838685952439323</v>
      </c>
      <c r="BE22" s="59"/>
      <c r="BF22" s="8" t="s">
        <v>113</v>
      </c>
      <c r="BG22" s="58">
        <v>4.4648194111922388</v>
      </c>
      <c r="BH22" s="59"/>
      <c r="BI22" s="8" t="s">
        <v>31</v>
      </c>
      <c r="BJ22" s="59">
        <v>3.1645385954730121</v>
      </c>
      <c r="BK22" s="61"/>
      <c r="BL22" s="8" t="s">
        <v>119</v>
      </c>
      <c r="BM22" s="59">
        <v>3.2139026507993234</v>
      </c>
      <c r="BN22" s="59"/>
      <c r="BO22" s="8" t="s">
        <v>105</v>
      </c>
      <c r="BP22" s="59">
        <v>2.9967413551653586</v>
      </c>
    </row>
    <row r="23" spans="1:68" ht="13.75" customHeight="1" x14ac:dyDescent="0.25">
      <c r="A23" s="14" t="s">
        <v>62</v>
      </c>
      <c r="B23" s="8" t="s">
        <v>63</v>
      </c>
      <c r="C23" s="9">
        <f>Actual!M23</f>
        <v>21781</v>
      </c>
      <c r="D23" s="9">
        <f>Actual!N23</f>
        <v>24117</v>
      </c>
      <c r="E23" s="9">
        <f>Actual!O23</f>
        <v>26712</v>
      </c>
      <c r="F23" s="9">
        <f>(28414+27924)/2</f>
        <v>28169</v>
      </c>
      <c r="G23" s="9">
        <f>(29091+27928)/2</f>
        <v>28509.5</v>
      </c>
      <c r="I23" s="9">
        <f>Actual!AA23</f>
        <v>5065</v>
      </c>
      <c r="J23" s="9">
        <f>Actual!AB23</f>
        <v>4833</v>
      </c>
      <c r="K23" s="9">
        <f>Actual!AC23</f>
        <v>4668</v>
      </c>
      <c r="L23" s="9">
        <f>(3931+3856)/2</f>
        <v>3893.5</v>
      </c>
      <c r="M23" s="9">
        <f>(3940+3802)/2</f>
        <v>3871</v>
      </c>
      <c r="N23" s="10"/>
      <c r="O23" s="9">
        <f>Actual!AO23</f>
        <v>9396</v>
      </c>
      <c r="P23" s="9">
        <f>Actual!AP23</f>
        <v>9323</v>
      </c>
      <c r="Q23" s="9">
        <f>Actual!AQ23</f>
        <v>9599</v>
      </c>
      <c r="R23" s="9">
        <f>(9750+9658)/2</f>
        <v>9704</v>
      </c>
      <c r="S23" s="9">
        <f>(10001+9803)/2</f>
        <v>9902</v>
      </c>
      <c r="U23" s="9">
        <f>Actual!BD23</f>
        <v>39165</v>
      </c>
      <c r="V23" s="9">
        <f>Actual!BE23</f>
        <v>40800</v>
      </c>
      <c r="W23" s="9">
        <f>Actual!BF23</f>
        <v>43705</v>
      </c>
      <c r="X23" s="9">
        <f>(44841+44123)/2</f>
        <v>44482</v>
      </c>
      <c r="Y23" s="9">
        <f>(45840+44265)/2</f>
        <v>45052.5</v>
      </c>
      <c r="Z23" s="56">
        <v>46007</v>
      </c>
      <c r="AB23" s="1"/>
      <c r="AC23" s="57" t="s">
        <v>62</v>
      </c>
      <c r="AD23" s="58">
        <f t="shared" si="12"/>
        <v>10.724943758321473</v>
      </c>
      <c r="AE23" s="58">
        <f t="shared" si="12"/>
        <v>10.760044781689265</v>
      </c>
      <c r="AF23" s="58">
        <f t="shared" si="12"/>
        <v>5.4544773884396527</v>
      </c>
      <c r="AG23" s="58">
        <f t="shared" si="12"/>
        <v>1.2087756043878022</v>
      </c>
      <c r="AH23" s="58"/>
      <c r="AI23" s="59">
        <f t="shared" si="13"/>
        <v>-4.5804540967423497</v>
      </c>
      <c r="AJ23" s="59">
        <f t="shared" si="13"/>
        <v>-3.4140285536933579</v>
      </c>
      <c r="AK23" s="59">
        <f t="shared" si="13"/>
        <v>-16.591688089117397</v>
      </c>
      <c r="AL23" s="59">
        <f t="shared" si="13"/>
        <v>-0.5778862206241171</v>
      </c>
      <c r="AN23" s="59">
        <f t="shared" si="14"/>
        <v>-0.77692635163899537</v>
      </c>
      <c r="AO23" s="59">
        <f t="shared" si="14"/>
        <v>2.9604204655153921</v>
      </c>
      <c r="AP23" s="59">
        <f t="shared" si="14"/>
        <v>1.0938639441608502</v>
      </c>
      <c r="AQ23" s="59">
        <f t="shared" si="14"/>
        <v>2.0403957131079968</v>
      </c>
      <c r="AS23" s="59">
        <f t="shared" si="15"/>
        <v>4.1746457296055155</v>
      </c>
      <c r="AT23" s="59">
        <f t="shared" si="15"/>
        <v>7.1200980392156863</v>
      </c>
      <c r="AU23" s="59">
        <f t="shared" si="15"/>
        <v>1.7778286237272622</v>
      </c>
      <c r="AV23" s="59">
        <f t="shared" si="15"/>
        <v>1.2825412526415179</v>
      </c>
      <c r="AW23" s="59"/>
      <c r="AX23" s="60"/>
      <c r="AY23" s="8"/>
      <c r="AZ23" s="8" t="s">
        <v>83</v>
      </c>
      <c r="BA23" s="59">
        <v>0.89253602072797733</v>
      </c>
      <c r="BB23" s="59"/>
      <c r="BC23" s="8" t="s">
        <v>101</v>
      </c>
      <c r="BD23" s="59">
        <v>2.2373123562382697</v>
      </c>
      <c r="BE23" s="59"/>
      <c r="BF23" s="8" t="s">
        <v>35</v>
      </c>
      <c r="BG23" s="58">
        <v>4.9203405832398417</v>
      </c>
      <c r="BH23" s="59"/>
      <c r="BI23" s="8" t="s">
        <v>53</v>
      </c>
      <c r="BJ23" s="59">
        <v>3.2355915065722956</v>
      </c>
      <c r="BK23" s="61"/>
      <c r="BL23" s="8" t="s">
        <v>75</v>
      </c>
      <c r="BM23" s="59">
        <v>3.5042847832943305</v>
      </c>
      <c r="BN23" s="59"/>
      <c r="BO23" s="8" t="s">
        <v>67</v>
      </c>
      <c r="BP23" s="59">
        <v>3.020177355095746</v>
      </c>
    </row>
    <row r="24" spans="1:68" ht="13.75" customHeight="1" x14ac:dyDescent="0.25">
      <c r="A24" s="12" t="s">
        <v>64</v>
      </c>
      <c r="B24" s="8" t="s">
        <v>65</v>
      </c>
      <c r="C24" s="9">
        <f>Actual!M24</f>
        <v>11670</v>
      </c>
      <c r="D24" s="9">
        <f>Actual!N24</f>
        <v>12295.8</v>
      </c>
      <c r="E24" s="9">
        <f>Actual!O24</f>
        <v>12679.400000000001</v>
      </c>
      <c r="F24" s="9">
        <f>9075.2+4375.9</f>
        <v>13451.1</v>
      </c>
      <c r="G24" s="9">
        <f>9251+4514.6</f>
        <v>13765.6</v>
      </c>
      <c r="I24" s="9">
        <f>Actual!AA24</f>
        <v>1609.9</v>
      </c>
      <c r="J24" s="9">
        <f>Actual!AB24</f>
        <v>1574</v>
      </c>
      <c r="K24" s="9">
        <f>Actual!AC24</f>
        <v>1501.4</v>
      </c>
      <c r="L24" s="9">
        <v>1427</v>
      </c>
      <c r="M24" s="9">
        <v>1267.5</v>
      </c>
      <c r="N24" s="9"/>
      <c r="O24" s="9">
        <f>Actual!AO24</f>
        <v>11594.5</v>
      </c>
      <c r="P24" s="9">
        <f>Actual!AP24</f>
        <v>11458.7</v>
      </c>
      <c r="Q24" s="9">
        <f>Actual!AQ24</f>
        <v>11646.6</v>
      </c>
      <c r="R24" s="9">
        <f>1146.5+1265.8+8070.2+971.2</f>
        <v>11453.7</v>
      </c>
      <c r="S24" s="9">
        <f>996.4+1327.1+8230.8+1002.6</f>
        <v>11556.9</v>
      </c>
      <c r="U24" s="9">
        <f>Actual!BD24</f>
        <v>31826.300000000003</v>
      </c>
      <c r="V24" s="9">
        <f>Actual!BE24</f>
        <v>32601.599999999999</v>
      </c>
      <c r="W24" s="9">
        <f>Actual!BF24</f>
        <v>33193.699999999997</v>
      </c>
      <c r="X24" s="9">
        <f>14131.8+19199.7</f>
        <v>33331.5</v>
      </c>
      <c r="Y24" s="9">
        <f>14001.4+19650.4</f>
        <v>33651.800000000003</v>
      </c>
      <c r="Z24" s="56">
        <v>46037</v>
      </c>
      <c r="AA24" s="2" t="s">
        <v>156</v>
      </c>
      <c r="AB24" s="1"/>
      <c r="AC24" s="57" t="s">
        <v>64</v>
      </c>
      <c r="AD24" s="58">
        <f t="shared" si="12"/>
        <v>5.3624678663239012</v>
      </c>
      <c r="AE24" s="58">
        <f t="shared" si="12"/>
        <v>3.1197644724214952</v>
      </c>
      <c r="AF24" s="58">
        <f t="shared" si="12"/>
        <v>6.0862501380191398</v>
      </c>
      <c r="AG24" s="58">
        <f t="shared" si="12"/>
        <v>2.3380987428537443</v>
      </c>
      <c r="AH24" s="58"/>
      <c r="AI24" s="59">
        <f t="shared" si="13"/>
        <v>-2.2299521709423002</v>
      </c>
      <c r="AJ24" s="59">
        <f t="shared" si="13"/>
        <v>-4.6124523506988506</v>
      </c>
      <c r="AK24" s="59">
        <f t="shared" si="13"/>
        <v>-4.9553749833488796</v>
      </c>
      <c r="AL24" s="59">
        <f t="shared" si="13"/>
        <v>-11.17729502452698</v>
      </c>
      <c r="AN24" s="59">
        <f t="shared" si="14"/>
        <v>-1.1712449868472059</v>
      </c>
      <c r="AO24" s="59">
        <f t="shared" si="14"/>
        <v>1.6398020717882451</v>
      </c>
      <c r="AP24" s="59">
        <f t="shared" si="14"/>
        <v>-1.6562773685023922</v>
      </c>
      <c r="AQ24" s="59">
        <f t="shared" si="14"/>
        <v>0.90101888472719649</v>
      </c>
      <c r="AS24" s="59">
        <f t="shared" si="15"/>
        <v>2.4360356057725703</v>
      </c>
      <c r="AT24" s="59">
        <f t="shared" si="15"/>
        <v>1.8161685316058065</v>
      </c>
      <c r="AU24" s="59">
        <f t="shared" si="15"/>
        <v>0.41513901734366138</v>
      </c>
      <c r="AV24" s="59">
        <f t="shared" si="15"/>
        <v>0.9609528524068911</v>
      </c>
      <c r="AW24" s="59"/>
      <c r="AX24" s="70"/>
      <c r="AY24" s="70"/>
      <c r="AZ24" s="8" t="s">
        <v>59</v>
      </c>
      <c r="BA24" s="59">
        <v>0.93749037506007571</v>
      </c>
      <c r="BB24" s="59"/>
      <c r="BC24" s="8" t="s">
        <v>67</v>
      </c>
      <c r="BD24" s="59">
        <v>2.3369515082562038</v>
      </c>
      <c r="BE24" s="59"/>
      <c r="BF24" s="8" t="s">
        <v>27</v>
      </c>
      <c r="BG24" s="58">
        <v>5.3958321417607609</v>
      </c>
      <c r="BH24" s="59"/>
      <c r="BI24" s="8" t="s">
        <v>113</v>
      </c>
      <c r="BJ24" s="59">
        <v>3.581126283892802</v>
      </c>
      <c r="BK24" s="61"/>
      <c r="BL24" s="8" t="s">
        <v>83</v>
      </c>
      <c r="BM24" s="59">
        <v>3.5679251739477502</v>
      </c>
      <c r="BN24" s="59"/>
      <c r="BO24" s="8" t="s">
        <v>121</v>
      </c>
      <c r="BP24" s="59">
        <v>3.0958774285263027</v>
      </c>
    </row>
    <row r="25" spans="1:68" ht="13.75" customHeight="1" x14ac:dyDescent="0.25">
      <c r="A25" s="14" t="s">
        <v>66</v>
      </c>
      <c r="B25" s="8" t="s">
        <v>67</v>
      </c>
      <c r="C25" s="9">
        <f>Actual!M25</f>
        <v>15777.561</v>
      </c>
      <c r="D25" s="9">
        <f>Actual!N25</f>
        <v>14873.104000000001</v>
      </c>
      <c r="E25" s="9">
        <f>Actual!O25</f>
        <v>16656</v>
      </c>
      <c r="F25" s="9">
        <v>17014</v>
      </c>
      <c r="G25" s="9">
        <v>17499</v>
      </c>
      <c r="H25" s="9"/>
      <c r="I25" s="9">
        <f>Actual!AA25</f>
        <v>2928.9209999999998</v>
      </c>
      <c r="J25" s="9">
        <f>Actual!AB25</f>
        <v>3171</v>
      </c>
      <c r="K25" s="9">
        <f>Actual!AC25</f>
        <v>3192</v>
      </c>
      <c r="L25" s="9">
        <v>3077</v>
      </c>
      <c r="M25" s="9">
        <v>3195</v>
      </c>
      <c r="N25" s="9"/>
      <c r="O25" s="9">
        <f>Actual!AO25</f>
        <v>7446.4430000000002</v>
      </c>
      <c r="P25" s="9">
        <f>Actual!AP25</f>
        <v>7546</v>
      </c>
      <c r="Q25" s="9">
        <f>Actual!AQ25</f>
        <v>7436</v>
      </c>
      <c r="R25" s="9">
        <v>7781</v>
      </c>
      <c r="S25" s="9">
        <v>8016</v>
      </c>
      <c r="U25" s="9">
        <f>Actual!BD25</f>
        <v>30485</v>
      </c>
      <c r="V25" s="9">
        <f>Actual!BE25</f>
        <v>30309</v>
      </c>
      <c r="W25" s="9">
        <f>Actual!BF25</f>
        <v>31981</v>
      </c>
      <c r="X25" s="9">
        <f>31078+1443</f>
        <v>32521</v>
      </c>
      <c r="Y25" s="9">
        <f>32113+1168</f>
        <v>33281</v>
      </c>
      <c r="Z25" s="56">
        <v>45962</v>
      </c>
      <c r="AA25" s="2" t="s">
        <v>152</v>
      </c>
      <c r="AC25" s="57" t="s">
        <v>66</v>
      </c>
      <c r="AD25" s="58">
        <f t="shared" si="12"/>
        <v>-5.7325527057065315</v>
      </c>
      <c r="AE25" s="58">
        <f t="shared" si="12"/>
        <v>11.987383400263985</v>
      </c>
      <c r="AF25" s="58">
        <f t="shared" si="12"/>
        <v>2.1493756003842459</v>
      </c>
      <c r="AG25" s="58">
        <f t="shared" si="12"/>
        <v>2.8505936287763016</v>
      </c>
      <c r="AH25" s="58"/>
      <c r="AI25" s="59">
        <f t="shared" si="13"/>
        <v>8.2651256213465718</v>
      </c>
      <c r="AJ25" s="59">
        <f t="shared" si="13"/>
        <v>0.66225165562913912</v>
      </c>
      <c r="AK25" s="59">
        <f t="shared" si="13"/>
        <v>-3.6027568922305764</v>
      </c>
      <c r="AL25" s="59">
        <f t="shared" si="13"/>
        <v>3.8349041273968156</v>
      </c>
      <c r="AN25" s="59">
        <f t="shared" si="14"/>
        <v>1.3369739082136234</v>
      </c>
      <c r="AO25" s="59">
        <f t="shared" si="14"/>
        <v>-1.4577259475218658</v>
      </c>
      <c r="AP25" s="59">
        <f t="shared" si="14"/>
        <v>4.6395911780527159</v>
      </c>
      <c r="AQ25" s="59">
        <f t="shared" si="14"/>
        <v>3.020177355095746</v>
      </c>
      <c r="AS25" s="59">
        <f t="shared" si="15"/>
        <v>-0.57733311464654746</v>
      </c>
      <c r="AT25" s="59">
        <f t="shared" si="15"/>
        <v>5.5165132468903622</v>
      </c>
      <c r="AU25" s="59">
        <f t="shared" si="15"/>
        <v>1.6885025483881055</v>
      </c>
      <c r="AV25" s="59">
        <f t="shared" si="15"/>
        <v>2.3369515082562038</v>
      </c>
      <c r="AW25" s="59"/>
      <c r="AX25" s="60"/>
      <c r="AY25" s="8"/>
      <c r="AZ25" s="8" t="s">
        <v>67</v>
      </c>
      <c r="BA25" s="59">
        <v>1.6885025483881055</v>
      </c>
      <c r="BB25" s="59"/>
      <c r="BC25" s="8" t="s">
        <v>31</v>
      </c>
      <c r="BD25" s="59">
        <v>2.3663526888961743</v>
      </c>
      <c r="BE25" s="59"/>
      <c r="BF25" s="8" t="s">
        <v>63</v>
      </c>
      <c r="BG25" s="58">
        <v>5.4544773884396527</v>
      </c>
      <c r="BH25" s="59"/>
      <c r="BI25" s="8" t="s">
        <v>99</v>
      </c>
      <c r="BJ25" s="59">
        <v>3.6179731569733558</v>
      </c>
      <c r="BK25" s="61"/>
      <c r="BL25" s="8" t="s">
        <v>59</v>
      </c>
      <c r="BM25" s="59">
        <v>3.6983912748810166</v>
      </c>
      <c r="BN25" s="59"/>
      <c r="BO25" s="8" t="s">
        <v>109</v>
      </c>
      <c r="BP25" s="59">
        <v>3.1231342887854199</v>
      </c>
    </row>
    <row r="26" spans="1:68" ht="13.75" customHeight="1" x14ac:dyDescent="0.25">
      <c r="A26" s="12" t="s">
        <v>68</v>
      </c>
      <c r="B26" s="8" t="s">
        <v>69</v>
      </c>
      <c r="C26" s="9">
        <f>Actual!M26</f>
        <v>2388.3696970000001</v>
      </c>
      <c r="D26" s="9">
        <f>Actual!N26</f>
        <v>2246.5463049999998</v>
      </c>
      <c r="E26" s="9">
        <f>Actual!O26</f>
        <v>2281.224393</v>
      </c>
      <c r="F26" s="9">
        <v>2200</v>
      </c>
      <c r="G26" s="9">
        <v>2099.1</v>
      </c>
      <c r="H26" s="9"/>
      <c r="I26" s="9">
        <f>Actual!AA26</f>
        <v>1037.22389</v>
      </c>
      <c r="J26" s="9">
        <f>Actual!AB26</f>
        <v>967.75673099999995</v>
      </c>
      <c r="K26" s="9">
        <f>Actual!AC26</f>
        <v>735.24867099999994</v>
      </c>
      <c r="L26" s="9">
        <v>738.6</v>
      </c>
      <c r="M26" s="9">
        <v>763.8</v>
      </c>
      <c r="N26" s="9"/>
      <c r="O26" s="9">
        <f>Actual!AO26</f>
        <v>3123.0648449999999</v>
      </c>
      <c r="P26" s="9">
        <f>Actual!AP26</f>
        <v>3223.8445400000001</v>
      </c>
      <c r="Q26" s="9">
        <f>Actual!AQ26</f>
        <v>3305.7893509999999</v>
      </c>
      <c r="R26" s="9">
        <f>2921.6+442.7</f>
        <v>3364.2999999999997</v>
      </c>
      <c r="S26" s="9">
        <f>2980.9+462</f>
        <v>3442.9</v>
      </c>
      <c r="U26" s="9">
        <f>Actual!BD26</f>
        <v>7694.1020580000004</v>
      </c>
      <c r="V26" s="9">
        <f>Actual!BE26</f>
        <v>7707.1054469999999</v>
      </c>
      <c r="W26" s="9">
        <f>Actual!BF26</f>
        <v>7642.7386079999997</v>
      </c>
      <c r="X26" s="9">
        <v>7552</v>
      </c>
      <c r="Y26" s="9">
        <v>7532.4</v>
      </c>
      <c r="Z26" s="56">
        <v>45976</v>
      </c>
      <c r="AA26" s="2" t="s">
        <v>152</v>
      </c>
      <c r="AC26" s="57" t="s">
        <v>68</v>
      </c>
      <c r="AD26" s="58">
        <f t="shared" si="12"/>
        <v>-5.9380837136789477</v>
      </c>
      <c r="AE26" s="58">
        <f t="shared" si="12"/>
        <v>1.5436177711013224</v>
      </c>
      <c r="AF26" s="58">
        <f t="shared" si="12"/>
        <v>-3.5605613042381647</v>
      </c>
      <c r="AG26" s="58">
        <f t="shared" si="12"/>
        <v>-4.5863636363636404</v>
      </c>
      <c r="AH26" s="58"/>
      <c r="AI26" s="59">
        <f t="shared" si="13"/>
        <v>-6.6974121662392525</v>
      </c>
      <c r="AJ26" s="59">
        <f t="shared" si="13"/>
        <v>-24.025465548531535</v>
      </c>
      <c r="AK26" s="59">
        <f t="shared" si="13"/>
        <v>0.4558089163822614</v>
      </c>
      <c r="AL26" s="59">
        <f t="shared" si="13"/>
        <v>3.4118602761982038</v>
      </c>
      <c r="AN26" s="59">
        <f t="shared" si="14"/>
        <v>3.2269485265843141</v>
      </c>
      <c r="AO26" s="59">
        <f t="shared" si="14"/>
        <v>2.5418350662777258</v>
      </c>
      <c r="AP26" s="59">
        <f t="shared" si="14"/>
        <v>1.7699448690613147</v>
      </c>
      <c r="AQ26" s="59">
        <f t="shared" si="14"/>
        <v>2.3362958119073913</v>
      </c>
      <c r="AS26" s="59">
        <f t="shared" si="15"/>
        <v>0.16900463370484076</v>
      </c>
      <c r="AT26" s="59">
        <f t="shared" si="15"/>
        <v>-0.83516229851318735</v>
      </c>
      <c r="AU26" s="59">
        <f t="shared" si="15"/>
        <v>-1.1872525367414695</v>
      </c>
      <c r="AV26" s="59">
        <f t="shared" si="15"/>
        <v>-0.25953389830508955</v>
      </c>
      <c r="AW26" s="59"/>
      <c r="AX26" s="60"/>
      <c r="AY26" s="8"/>
      <c r="AZ26" s="8" t="s">
        <v>63</v>
      </c>
      <c r="BA26" s="59">
        <v>1.7778286237272622</v>
      </c>
      <c r="BB26" s="59"/>
      <c r="BC26" s="8" t="s">
        <v>103</v>
      </c>
      <c r="BD26" s="59">
        <v>2.3819481656281978</v>
      </c>
      <c r="BE26" s="59"/>
      <c r="BF26" s="8" t="s">
        <v>53</v>
      </c>
      <c r="BG26" s="58">
        <v>5.7587511356500904</v>
      </c>
      <c r="BH26" s="59"/>
      <c r="BI26" s="8" t="s">
        <v>37</v>
      </c>
      <c r="BJ26" s="59">
        <v>4.5601705622236253</v>
      </c>
      <c r="BK26" s="61"/>
      <c r="BL26" s="8" t="s">
        <v>33</v>
      </c>
      <c r="BM26" s="59">
        <v>3.7507782811258732</v>
      </c>
      <c r="BN26" s="59"/>
      <c r="BO26" s="8" t="s">
        <v>43</v>
      </c>
      <c r="BP26" s="59">
        <v>3.1385112475087817</v>
      </c>
    </row>
    <row r="27" spans="1:68" ht="13.75" customHeight="1" x14ac:dyDescent="0.25">
      <c r="A27" s="14" t="s">
        <v>70</v>
      </c>
      <c r="B27" s="8" t="s">
        <v>71</v>
      </c>
      <c r="C27" s="9">
        <f>Actual!M27</f>
        <v>9984.7431209999995</v>
      </c>
      <c r="D27" s="9">
        <f>Actual!N27</f>
        <v>9795.3614759900011</v>
      </c>
      <c r="E27" s="9">
        <f>Actual!O27</f>
        <v>9883.7016299999996</v>
      </c>
      <c r="F27" s="9">
        <f>9035.3+725.9</f>
        <v>9761.1999999999989</v>
      </c>
      <c r="G27" s="9">
        <f>9331.8+736.9</f>
        <v>10068.699999999999</v>
      </c>
      <c r="H27" s="9"/>
      <c r="I27" s="9">
        <f>Actual!AA27</f>
        <v>1058.8397580000001</v>
      </c>
      <c r="J27" s="9">
        <f>Actual!AB27</f>
        <v>1050.71028389</v>
      </c>
      <c r="K27" s="9">
        <f>Actual!AC27</f>
        <v>994.17233499999998</v>
      </c>
      <c r="L27" s="9">
        <v>999.7</v>
      </c>
      <c r="M27" s="9">
        <v>1059.0999999999999</v>
      </c>
      <c r="N27" s="9"/>
      <c r="O27" s="9">
        <f>Actual!AO27</f>
        <v>2943.6497789999999</v>
      </c>
      <c r="P27" s="9">
        <f>Actual!AP27</f>
        <v>3184.1042924200001</v>
      </c>
      <c r="Q27" s="9">
        <f>Actual!AQ27</f>
        <v>3223.3634069999998</v>
      </c>
      <c r="R27" s="9">
        <v>3308.7</v>
      </c>
      <c r="S27" s="9">
        <v>3395.8</v>
      </c>
      <c r="U27" s="9">
        <f>Actual!BD27</f>
        <v>13234.562878999999</v>
      </c>
      <c r="V27" s="9">
        <f>Actual!BE27</f>
        <v>13429.144</v>
      </c>
      <c r="W27" s="9">
        <f>Actual!BF27</f>
        <v>13430.978644999999</v>
      </c>
      <c r="X27" s="9">
        <v>13150</v>
      </c>
      <c r="Y27" s="9">
        <v>13650</v>
      </c>
      <c r="Z27" s="56">
        <v>46035</v>
      </c>
      <c r="AA27" s="2" t="s">
        <v>152</v>
      </c>
      <c r="AC27" s="57" t="s">
        <v>70</v>
      </c>
      <c r="AD27" s="58">
        <f t="shared" si="12"/>
        <v>-1.8967102379598464</v>
      </c>
      <c r="AE27" s="58">
        <f t="shared" si="12"/>
        <v>0.90185700881518649</v>
      </c>
      <c r="AF27" s="58">
        <f t="shared" si="12"/>
        <v>-1.2394306767433312</v>
      </c>
      <c r="AG27" s="58">
        <f t="shared" si="12"/>
        <v>3.1502274310535592</v>
      </c>
      <c r="AH27" s="58"/>
      <c r="AI27" s="59">
        <f t="shared" si="13"/>
        <v>-0.76777189830456349</v>
      </c>
      <c r="AJ27" s="59">
        <f t="shared" si="13"/>
        <v>-5.3809265748006201</v>
      </c>
      <c r="AK27" s="59">
        <f t="shared" si="13"/>
        <v>0.55600672090720271</v>
      </c>
      <c r="AL27" s="59">
        <f t="shared" si="13"/>
        <v>5.9417825347604136</v>
      </c>
      <c r="AN27" s="59">
        <f t="shared" si="14"/>
        <v>8.1685842906789716</v>
      </c>
      <c r="AO27" s="59">
        <f t="shared" si="14"/>
        <v>1.2329720063962417</v>
      </c>
      <c r="AP27" s="59">
        <f t="shared" si="14"/>
        <v>2.6474394048985985</v>
      </c>
      <c r="AQ27" s="59">
        <f t="shared" si="14"/>
        <v>2.6324538338320296</v>
      </c>
      <c r="AS27" s="59">
        <f t="shared" si="15"/>
        <v>1.4702496998125532</v>
      </c>
      <c r="AT27" s="59">
        <f t="shared" si="15"/>
        <v>1.3661667489744692E-2</v>
      </c>
      <c r="AU27" s="59">
        <f t="shared" si="15"/>
        <v>-2.0920191478719996</v>
      </c>
      <c r="AV27" s="59">
        <f t="shared" si="15"/>
        <v>3.8022813688212929</v>
      </c>
      <c r="AW27" s="59"/>
      <c r="AX27" s="60"/>
      <c r="AY27" s="8"/>
      <c r="AZ27" s="8" t="s">
        <v>53</v>
      </c>
      <c r="BA27" s="59">
        <v>2.0431173779225222</v>
      </c>
      <c r="BB27" s="70"/>
      <c r="BC27" s="8" t="s">
        <v>111</v>
      </c>
      <c r="BD27" s="59">
        <v>2.4102377084507447</v>
      </c>
      <c r="BE27" s="59"/>
      <c r="BF27" s="8" t="s">
        <v>61</v>
      </c>
      <c r="BG27" s="58">
        <v>5.8745309382991708</v>
      </c>
      <c r="BH27" s="70"/>
      <c r="BI27" s="8" t="s">
        <v>97</v>
      </c>
      <c r="BJ27" s="59">
        <v>4.6942400405988325</v>
      </c>
      <c r="BK27" s="61"/>
      <c r="BL27" s="8" t="s">
        <v>97</v>
      </c>
      <c r="BM27" s="59">
        <v>3.7895080717610816</v>
      </c>
      <c r="BN27" s="70"/>
      <c r="BO27" s="8" t="s">
        <v>51</v>
      </c>
      <c r="BP27" s="59">
        <v>3.2871422080872295</v>
      </c>
    </row>
    <row r="28" spans="1:68" ht="13.75" customHeight="1" x14ac:dyDescent="0.25">
      <c r="A28" s="12" t="s">
        <v>72</v>
      </c>
      <c r="B28" s="8" t="s">
        <v>73</v>
      </c>
      <c r="C28" s="13">
        <f>Actual!M28</f>
        <v>2254.3050632300001</v>
      </c>
      <c r="D28" s="13">
        <f>Actual!N28</f>
        <v>2243.9463236199999</v>
      </c>
      <c r="E28" s="13">
        <f>Actual!O28</f>
        <v>2329.58</v>
      </c>
      <c r="F28" s="13"/>
      <c r="G28" s="13"/>
      <c r="H28" s="65"/>
      <c r="I28" s="13">
        <f>Actual!AA28</f>
        <v>309.88362231000002</v>
      </c>
      <c r="J28" s="13">
        <f>Actual!AB28</f>
        <v>312.27636295999997</v>
      </c>
      <c r="K28" s="13">
        <f>Actual!AC28</f>
        <v>321.20800000000003</v>
      </c>
      <c r="L28" s="13"/>
      <c r="M28" s="13"/>
      <c r="N28" s="13"/>
      <c r="O28" s="13"/>
      <c r="P28" s="13"/>
      <c r="Q28" s="13"/>
      <c r="R28" s="13"/>
      <c r="S28" s="13"/>
      <c r="T28" s="13"/>
      <c r="U28" s="13">
        <f>Actual!BD28</f>
        <v>3687.7434476399994</v>
      </c>
      <c r="V28" s="13">
        <f>Actual!BE28</f>
        <v>3916.9224208600003</v>
      </c>
      <c r="W28" s="13">
        <f>Actual!BF28</f>
        <v>4034.3690000000001</v>
      </c>
      <c r="X28" s="13"/>
      <c r="Y28" s="13"/>
      <c r="Z28" s="56"/>
      <c r="AA28" s="2" t="s">
        <v>152</v>
      </c>
      <c r="AC28" s="66" t="s">
        <v>72</v>
      </c>
      <c r="AD28" s="67"/>
      <c r="AE28" s="67"/>
      <c r="AF28" s="67"/>
      <c r="AG28" s="67"/>
      <c r="AH28" s="67"/>
      <c r="AI28" s="67"/>
      <c r="AJ28" s="67"/>
      <c r="AK28" s="67"/>
      <c r="AL28" s="67"/>
      <c r="AM28" s="68"/>
      <c r="AN28" s="67"/>
      <c r="AO28" s="67"/>
      <c r="AP28" s="67"/>
      <c r="AQ28" s="67"/>
      <c r="AR28" s="68"/>
      <c r="AS28" s="67"/>
      <c r="AT28" s="67"/>
      <c r="AU28" s="67"/>
      <c r="AV28" s="67"/>
      <c r="AW28" s="59"/>
      <c r="AX28" s="60"/>
      <c r="AY28" s="8"/>
      <c r="AZ28" s="8" t="s">
        <v>37</v>
      </c>
      <c r="BA28" s="59">
        <v>2.428932076542722</v>
      </c>
      <c r="BB28" s="22"/>
      <c r="BC28" s="8" t="s">
        <v>107</v>
      </c>
      <c r="BD28" s="59">
        <v>2.5959863570143229</v>
      </c>
      <c r="BE28" s="59"/>
      <c r="BF28" s="8" t="s">
        <v>31</v>
      </c>
      <c r="BG28" s="58">
        <v>5.8857871529751566</v>
      </c>
      <c r="BH28" s="59"/>
      <c r="BI28" s="8" t="s">
        <v>109</v>
      </c>
      <c r="BJ28" s="59">
        <v>4.7756485201905026</v>
      </c>
      <c r="BK28" s="61"/>
      <c r="BL28" s="8" t="s">
        <v>51</v>
      </c>
      <c r="BM28" s="70">
        <v>3.9457838437743602</v>
      </c>
      <c r="BN28" s="59"/>
      <c r="BO28" s="8" t="s">
        <v>115</v>
      </c>
      <c r="BP28" s="59">
        <v>3.3454811341558242</v>
      </c>
    </row>
    <row r="29" spans="1:68" ht="13.75" customHeight="1" x14ac:dyDescent="0.25">
      <c r="A29" s="12" t="s">
        <v>74</v>
      </c>
      <c r="B29" s="8" t="s">
        <v>75</v>
      </c>
      <c r="C29" s="9">
        <f>Actual!M29</f>
        <v>3005.9520590000002</v>
      </c>
      <c r="D29" s="9">
        <f>Actual!N29</f>
        <v>2479.0541859999998</v>
      </c>
      <c r="E29" s="9">
        <f>Actual!O29</f>
        <v>2179.9338889999999</v>
      </c>
      <c r="F29" s="9">
        <v>3054.9631880000002</v>
      </c>
      <c r="G29" s="9">
        <v>3111.7532580000002</v>
      </c>
      <c r="H29" s="9"/>
      <c r="I29" s="9">
        <f>Actual!AA29</f>
        <v>692.96473000000003</v>
      </c>
      <c r="J29" s="9">
        <f>Actual!AB29</f>
        <v>1724.9081349999999</v>
      </c>
      <c r="K29" s="9">
        <f>Actual!AC29</f>
        <v>1075.0850780000001</v>
      </c>
      <c r="L29" s="9">
        <v>902.98772899999994</v>
      </c>
      <c r="M29" s="9">
        <v>830.25108599999999</v>
      </c>
      <c r="N29" s="9"/>
      <c r="O29" s="9">
        <f>Actual!AO29</f>
        <v>2335.8999359999998</v>
      </c>
      <c r="P29" s="9">
        <f>Actual!AP29</f>
        <v>2458.8340680000001</v>
      </c>
      <c r="Q29" s="9">
        <f>Actual!AQ29</f>
        <v>2516.7441990000002</v>
      </c>
      <c r="R29" s="9">
        <v>2604.938083</v>
      </c>
      <c r="S29" s="9">
        <v>2723.2176559999998</v>
      </c>
      <c r="T29" s="9"/>
      <c r="U29" s="9">
        <f>Actual!BD29</f>
        <v>6367.9824920000001</v>
      </c>
      <c r="V29" s="9">
        <f>Actual!BE29</f>
        <v>7155.8105800000003</v>
      </c>
      <c r="W29" s="9">
        <f>Actual!BF29</f>
        <v>6159.0416619999996</v>
      </c>
      <c r="X29" s="9">
        <v>7069.8389569999999</v>
      </c>
      <c r="Y29" s="9">
        <v>7047.1229569999996</v>
      </c>
      <c r="Z29" s="56">
        <v>45980</v>
      </c>
      <c r="AA29" s="2" t="s">
        <v>152</v>
      </c>
      <c r="AC29" s="57" t="s">
        <v>74</v>
      </c>
      <c r="AD29" s="58">
        <f>(D29-C29)/C29*100</f>
        <v>-17.528485573229176</v>
      </c>
      <c r="AE29" s="58">
        <f>(E29-D29)/D29*100</f>
        <v>-12.065903951967911</v>
      </c>
      <c r="AF29" s="58">
        <f>(F29-E29)/E29*100</f>
        <v>40.140175966593283</v>
      </c>
      <c r="AG29" s="58">
        <f>(G29-F29)/F29*100</f>
        <v>1.8589444947511431</v>
      </c>
      <c r="AH29" s="58"/>
      <c r="AI29" s="59">
        <f>(J29-I29)/I29*100</f>
        <v>148.91716133951002</v>
      </c>
      <c r="AJ29" s="59">
        <f>(K29-J29)/J29*100</f>
        <v>-37.67290812852476</v>
      </c>
      <c r="AK29" s="59">
        <f>(L29-K29)/K29*100</f>
        <v>-16.007788827295037</v>
      </c>
      <c r="AL29" s="59">
        <f>(M29-L29)/L29*100</f>
        <v>-8.0551086868645552</v>
      </c>
      <c r="AN29" s="59">
        <f>(P29-O29)/O29*100</f>
        <v>5.2628167031209827</v>
      </c>
      <c r="AO29" s="59">
        <f>(Q29-P29)/P29*100</f>
        <v>2.3551866209135381</v>
      </c>
      <c r="AP29" s="59">
        <f>(R29-Q29)/Q29*100</f>
        <v>3.5042847832943305</v>
      </c>
      <c r="AQ29" s="59">
        <f>(S29-R29)/R29*100</f>
        <v>4.5405905718796236</v>
      </c>
      <c r="AS29" s="59">
        <f>(V29-U29)/U29*100</f>
        <v>12.371706250601925</v>
      </c>
      <c r="AT29" s="59">
        <f>(W29-V29)/V29*100</f>
        <v>-13.929503958446041</v>
      </c>
      <c r="AU29" s="59">
        <f>(X29-W29)/W29*100</f>
        <v>14.787971002362744</v>
      </c>
      <c r="AV29" s="59">
        <f>(Y29-X29)/X29*100</f>
        <v>-0.32130859186698657</v>
      </c>
      <c r="AW29" s="59"/>
      <c r="AX29" s="60"/>
      <c r="AY29" s="8"/>
      <c r="AZ29" s="8" t="s">
        <v>39</v>
      </c>
      <c r="BA29" s="59">
        <v>2.6401078991867299</v>
      </c>
      <c r="BB29" s="59"/>
      <c r="BC29" s="8" t="s">
        <v>49</v>
      </c>
      <c r="BD29" s="59">
        <v>2.7166988437833379</v>
      </c>
      <c r="BE29" s="59"/>
      <c r="BF29" s="8" t="s">
        <v>65</v>
      </c>
      <c r="BG29" s="58">
        <v>6.0862501380191398</v>
      </c>
      <c r="BH29" s="59"/>
      <c r="BI29" s="8" t="s">
        <v>51</v>
      </c>
      <c r="BJ29" s="59">
        <v>5.1415525114155214</v>
      </c>
      <c r="BK29" s="61"/>
      <c r="BL29" s="8" t="s">
        <v>43</v>
      </c>
      <c r="BM29" s="59">
        <v>3.9949314640206115</v>
      </c>
      <c r="BO29" s="8" t="s">
        <v>101</v>
      </c>
      <c r="BP29" s="59">
        <v>3.4215558785282658</v>
      </c>
    </row>
    <row r="30" spans="1:68" ht="13.75" customHeight="1" x14ac:dyDescent="0.25">
      <c r="A30" s="12" t="s">
        <v>76</v>
      </c>
      <c r="B30" s="8" t="s">
        <v>77</v>
      </c>
      <c r="C30" s="13"/>
      <c r="D30" s="13"/>
      <c r="E30" s="13"/>
      <c r="F30" s="13"/>
      <c r="G30" s="13"/>
      <c r="H30" s="65"/>
      <c r="I30" s="13"/>
      <c r="J30" s="13"/>
      <c r="K30" s="13"/>
      <c r="L30" s="13"/>
      <c r="M30" s="13"/>
      <c r="N30" s="13"/>
      <c r="O30" s="13">
        <f>Actual!AO30</f>
        <v>1721.54393</v>
      </c>
      <c r="P30" s="13"/>
      <c r="Q30" s="13"/>
      <c r="R30" s="13"/>
      <c r="S30" s="13"/>
      <c r="T30" s="13"/>
      <c r="U30" s="13">
        <f>Actual!BD30</f>
        <v>5762.480775</v>
      </c>
      <c r="V30" s="13"/>
      <c r="W30" s="13"/>
      <c r="X30" s="13"/>
      <c r="Y30" s="13"/>
      <c r="Z30" s="56"/>
      <c r="AA30" s="2" t="s">
        <v>152</v>
      </c>
      <c r="AC30" s="66" t="s">
        <v>76</v>
      </c>
      <c r="AD30" s="67"/>
      <c r="AE30" s="67"/>
      <c r="AF30" s="67"/>
      <c r="AG30" s="67"/>
      <c r="AH30" s="67"/>
      <c r="AI30" s="67"/>
      <c r="AJ30" s="67"/>
      <c r="AK30" s="67"/>
      <c r="AL30" s="67"/>
      <c r="AM30" s="68"/>
      <c r="AN30" s="67"/>
      <c r="AO30" s="67"/>
      <c r="AP30" s="67"/>
      <c r="AQ30" s="67"/>
      <c r="AR30" s="68"/>
      <c r="AS30" s="67"/>
      <c r="AT30" s="67"/>
      <c r="AU30" s="67"/>
      <c r="AV30" s="67"/>
      <c r="AW30" s="59"/>
      <c r="AX30" s="60"/>
      <c r="AY30" s="8"/>
      <c r="AZ30" s="8" t="s">
        <v>113</v>
      </c>
      <c r="BA30" s="59">
        <v>3.1456227377386221</v>
      </c>
      <c r="BB30" s="59"/>
      <c r="BC30" s="8" t="s">
        <v>45</v>
      </c>
      <c r="BD30" s="59">
        <v>3.0443693733734456</v>
      </c>
      <c r="BE30" s="59"/>
      <c r="BF30" s="8" t="s">
        <v>37</v>
      </c>
      <c r="BG30" s="58">
        <v>6.2772742531050847</v>
      </c>
      <c r="BH30" s="59"/>
      <c r="BI30" s="8" t="s">
        <v>27</v>
      </c>
      <c r="BJ30" s="59">
        <v>5.3680181972690209</v>
      </c>
      <c r="BK30" s="61"/>
      <c r="BL30" s="8" t="s">
        <v>101</v>
      </c>
      <c r="BM30" s="59">
        <v>4.0131668575612416</v>
      </c>
      <c r="BO30" s="8" t="s">
        <v>93</v>
      </c>
      <c r="BP30" s="59">
        <v>3.4316626970191484</v>
      </c>
    </row>
    <row r="31" spans="1:68" ht="13.75" customHeight="1" x14ac:dyDescent="0.25">
      <c r="A31" s="17" t="s">
        <v>78</v>
      </c>
      <c r="B31" s="8" t="s">
        <v>79</v>
      </c>
      <c r="C31" s="13">
        <f>Actual!M31</f>
        <v>147.30000000000001</v>
      </c>
      <c r="D31" s="13">
        <f>Actual!N31</f>
        <v>184.6</v>
      </c>
      <c r="E31" s="13">
        <f>Actual!O31</f>
        <v>72.7</v>
      </c>
      <c r="F31" s="13"/>
      <c r="G31" s="13"/>
      <c r="H31" s="65"/>
      <c r="I31" s="13">
        <f>Actual!AA31</f>
        <v>1258.9000000000001</v>
      </c>
      <c r="J31" s="13">
        <f>Actual!AB31</f>
        <v>1225.7</v>
      </c>
      <c r="K31" s="13">
        <f>Actual!AC31</f>
        <v>1095.5999999999999</v>
      </c>
      <c r="L31" s="13"/>
      <c r="M31" s="13"/>
      <c r="N31" s="13"/>
      <c r="O31" s="13"/>
      <c r="P31" s="13"/>
      <c r="Q31" s="13"/>
      <c r="R31" s="13"/>
      <c r="S31" s="13"/>
      <c r="T31" s="13"/>
      <c r="U31" s="13">
        <f>Actual!BD31</f>
        <v>3218.5</v>
      </c>
      <c r="V31" s="13">
        <f>Actual!BE31</f>
        <v>3332</v>
      </c>
      <c r="W31" s="13">
        <f>Actual!BF31</f>
        <v>3101.1</v>
      </c>
      <c r="X31" s="13"/>
      <c r="Y31" s="13"/>
      <c r="Z31" s="56"/>
      <c r="AA31" s="2" t="s">
        <v>157</v>
      </c>
      <c r="AC31" s="66" t="s">
        <v>78</v>
      </c>
      <c r="AD31" s="67"/>
      <c r="AE31" s="67"/>
      <c r="AF31" s="67"/>
      <c r="AG31" s="67"/>
      <c r="AH31" s="67"/>
      <c r="AI31" s="67"/>
      <c r="AJ31" s="67"/>
      <c r="AK31" s="67"/>
      <c r="AL31" s="67"/>
      <c r="AM31" s="68"/>
      <c r="AN31" s="67"/>
      <c r="AO31" s="67"/>
      <c r="AP31" s="67"/>
      <c r="AQ31" s="67"/>
      <c r="AR31" s="68"/>
      <c r="AS31" s="67"/>
      <c r="AT31" s="67"/>
      <c r="AU31" s="67"/>
      <c r="AV31" s="67"/>
      <c r="AW31" s="59"/>
      <c r="AX31" s="60"/>
      <c r="AY31" s="8"/>
      <c r="AZ31" s="8" t="s">
        <v>35</v>
      </c>
      <c r="BA31" s="59">
        <v>3.251320280536568</v>
      </c>
      <c r="BB31" s="59"/>
      <c r="BC31" s="8" t="s">
        <v>113</v>
      </c>
      <c r="BD31" s="59">
        <v>3.0530013844541206</v>
      </c>
      <c r="BE31" s="59"/>
      <c r="BF31" s="8" t="s">
        <v>95</v>
      </c>
      <c r="BG31" s="58">
        <v>9.1075705050349161</v>
      </c>
      <c r="BH31" s="59"/>
      <c r="BI31" s="8" t="s">
        <v>85</v>
      </c>
      <c r="BJ31" s="70">
        <v>5.9307805596465393</v>
      </c>
      <c r="BK31" s="61"/>
      <c r="BL31" s="8" t="s">
        <v>107</v>
      </c>
      <c r="BM31" s="59">
        <v>4.1417051849697382</v>
      </c>
      <c r="BO31" s="8" t="s">
        <v>49</v>
      </c>
      <c r="BP31" s="59">
        <v>3.4523597506678607</v>
      </c>
    </row>
    <row r="32" spans="1:68" ht="13.75" customHeight="1" x14ac:dyDescent="0.25">
      <c r="A32" s="12" t="s">
        <v>80</v>
      </c>
      <c r="B32" s="8" t="s">
        <v>81</v>
      </c>
      <c r="C32" s="13">
        <f>Actual!M32</f>
        <v>18798.700879</v>
      </c>
      <c r="D32" s="13"/>
      <c r="E32" s="13"/>
      <c r="F32" s="13"/>
      <c r="G32" s="13"/>
      <c r="H32" s="65"/>
      <c r="I32" s="13">
        <f>Actual!AA32</f>
        <v>5512.7339169999996</v>
      </c>
      <c r="J32" s="13"/>
      <c r="K32" s="13"/>
      <c r="L32" s="13"/>
      <c r="M32" s="13"/>
      <c r="N32" s="13"/>
      <c r="O32" s="13">
        <f>Actual!AO32</f>
        <v>13079.430767</v>
      </c>
      <c r="P32" s="13"/>
      <c r="Q32" s="13"/>
      <c r="R32" s="13"/>
      <c r="S32" s="13"/>
      <c r="T32" s="13"/>
      <c r="U32" s="13">
        <f>Actual!BD32</f>
        <v>52099.5</v>
      </c>
      <c r="V32" s="13"/>
      <c r="W32" s="13"/>
      <c r="X32" s="13"/>
      <c r="Y32" s="13"/>
      <c r="Z32" s="56"/>
      <c r="AA32" s="2" t="s">
        <v>152</v>
      </c>
      <c r="AB32" s="1"/>
      <c r="AC32" s="66" t="s">
        <v>80</v>
      </c>
      <c r="AD32" s="67"/>
      <c r="AE32" s="67"/>
      <c r="AF32" s="67"/>
      <c r="AG32" s="67"/>
      <c r="AH32" s="67"/>
      <c r="AI32" s="67"/>
      <c r="AJ32" s="67"/>
      <c r="AK32" s="67"/>
      <c r="AL32" s="67"/>
      <c r="AM32" s="68"/>
      <c r="AN32" s="67"/>
      <c r="AO32" s="67"/>
      <c r="AP32" s="67"/>
      <c r="AQ32" s="67"/>
      <c r="AR32" s="68"/>
      <c r="AS32" s="67"/>
      <c r="AT32" s="67"/>
      <c r="AU32" s="67"/>
      <c r="AV32" s="67"/>
      <c r="AW32" s="59"/>
      <c r="AX32" s="60"/>
      <c r="AY32" s="8"/>
      <c r="AZ32" s="8" t="s">
        <v>31</v>
      </c>
      <c r="BA32" s="59">
        <v>3.2951040246034435</v>
      </c>
      <c r="BB32" s="59"/>
      <c r="BC32" s="8" t="s">
        <v>119</v>
      </c>
      <c r="BD32" s="59">
        <v>3.0636517744846032</v>
      </c>
      <c r="BE32" s="59"/>
      <c r="BF32" s="8" t="s">
        <v>85</v>
      </c>
      <c r="BG32" s="58">
        <v>10.945899576804301</v>
      </c>
      <c r="BH32" s="59"/>
      <c r="BI32" s="8" t="s">
        <v>95</v>
      </c>
      <c r="BJ32" s="59">
        <v>10.606913233843136</v>
      </c>
      <c r="BK32" s="61"/>
      <c r="BL32" s="8" t="s">
        <v>103</v>
      </c>
      <c r="BM32" s="59">
        <v>4.4334148099700235</v>
      </c>
      <c r="BO32" s="8" t="s">
        <v>27</v>
      </c>
      <c r="BP32" s="59">
        <v>3.470476103349978</v>
      </c>
    </row>
    <row r="33" spans="1:68" ht="13.75" customHeight="1" x14ac:dyDescent="0.25">
      <c r="A33" s="17" t="s">
        <v>82</v>
      </c>
      <c r="B33" s="8" t="s">
        <v>83</v>
      </c>
      <c r="C33" s="9">
        <f>Actual!M33</f>
        <v>2514.6999999999998</v>
      </c>
      <c r="D33" s="9">
        <f>Actual!N33</f>
        <v>2207.6</v>
      </c>
      <c r="E33" s="9">
        <f>Actual!O33</f>
        <v>2143.1</v>
      </c>
      <c r="F33" s="9">
        <v>2175</v>
      </c>
      <c r="G33" s="9">
        <v>2231.9</v>
      </c>
      <c r="H33" s="9"/>
      <c r="I33" s="9">
        <f>Actual!AA33</f>
        <v>439.1</v>
      </c>
      <c r="J33" s="9">
        <f>Actual!AB33</f>
        <v>627.20000000000005</v>
      </c>
      <c r="K33" s="9">
        <f>Actual!AC33</f>
        <v>782.5</v>
      </c>
      <c r="L33" s="9">
        <v>253</v>
      </c>
      <c r="M33" s="9">
        <v>384.1</v>
      </c>
      <c r="N33" s="9"/>
      <c r="O33" s="9">
        <f>Actual!AO33</f>
        <v>4045.2</v>
      </c>
      <c r="P33" s="9">
        <f>Actual!AP33</f>
        <v>4131.8</v>
      </c>
      <c r="Q33" s="9">
        <f>Actual!AQ33</f>
        <v>4383.5</v>
      </c>
      <c r="R33" s="9">
        <v>4539.8999999999996</v>
      </c>
      <c r="S33" s="9">
        <v>4661.3</v>
      </c>
      <c r="T33" s="9"/>
      <c r="U33" s="9">
        <f>Actual!BD33</f>
        <v>10890.1</v>
      </c>
      <c r="V33" s="9">
        <f>Actual!BE33</f>
        <v>13190</v>
      </c>
      <c r="W33" s="9">
        <f>Actual!BF33</f>
        <v>13624.1</v>
      </c>
      <c r="X33" s="9">
        <v>13745.7</v>
      </c>
      <c r="Y33" s="9">
        <v>13913.2</v>
      </c>
      <c r="Z33" s="56">
        <v>45999</v>
      </c>
      <c r="AA33" s="2" t="s">
        <v>152</v>
      </c>
      <c r="AC33" s="57" t="s">
        <v>82</v>
      </c>
      <c r="AD33" s="58">
        <f t="shared" ref="AD33:AG42" si="16">(D33-C33)/C33*100</f>
        <v>-12.212192309221773</v>
      </c>
      <c r="AE33" s="58">
        <f t="shared" si="16"/>
        <v>-2.9217249501721327</v>
      </c>
      <c r="AF33" s="58">
        <f>(F33-E33)/E33*100</f>
        <v>1.4884979702300449</v>
      </c>
      <c r="AG33" s="58">
        <f>(G33-F33)/F33*100</f>
        <v>2.616091954022993</v>
      </c>
      <c r="AH33" s="58"/>
      <c r="AI33" s="59">
        <f t="shared" ref="AI33:AL34" si="17">(J33-I33)/I33*100</f>
        <v>42.837622409473923</v>
      </c>
      <c r="AJ33" s="59">
        <f t="shared" si="17"/>
        <v>24.760841836734684</v>
      </c>
      <c r="AK33" s="59">
        <f t="shared" si="17"/>
        <v>-67.667731629392975</v>
      </c>
      <c r="AL33" s="59">
        <f t="shared" si="17"/>
        <v>51.818181818181827</v>
      </c>
      <c r="AN33" s="59">
        <f t="shared" ref="AN33:AQ34" si="18">(P33-O33)/O33*100</f>
        <v>2.1408088598833275</v>
      </c>
      <c r="AO33" s="59">
        <f t="shared" si="18"/>
        <v>6.0917759814124546</v>
      </c>
      <c r="AP33" s="59">
        <f t="shared" si="18"/>
        <v>3.5679251739477502</v>
      </c>
      <c r="AQ33" s="59">
        <f t="shared" si="18"/>
        <v>2.6740677107425395</v>
      </c>
      <c r="AS33" s="59">
        <f t="shared" ref="AS33:AV34" si="19">(V33-U33)/U33*100</f>
        <v>21.119181642041852</v>
      </c>
      <c r="AT33" s="59">
        <f t="shared" si="19"/>
        <v>3.291129643669449</v>
      </c>
      <c r="AU33" s="59">
        <f t="shared" si="19"/>
        <v>0.89253602072797733</v>
      </c>
      <c r="AV33" s="59">
        <f t="shared" si="19"/>
        <v>1.2185628960329411</v>
      </c>
      <c r="AW33" s="59"/>
      <c r="AX33" s="60"/>
      <c r="AY33" s="8"/>
      <c r="AZ33" s="8" t="s">
        <v>99</v>
      </c>
      <c r="BA33" s="59">
        <v>3.3116918434527762</v>
      </c>
      <c r="BB33" s="59"/>
      <c r="BC33" s="8" t="s">
        <v>117</v>
      </c>
      <c r="BD33" s="59">
        <v>3.1975386035016444</v>
      </c>
      <c r="BE33" s="59"/>
      <c r="BF33" s="8" t="s">
        <v>75</v>
      </c>
      <c r="BG33" s="58">
        <v>40.140175966593283</v>
      </c>
      <c r="BI33" s="8" t="s">
        <v>33</v>
      </c>
      <c r="BJ33" s="59">
        <v>13.372058909816362</v>
      </c>
      <c r="BK33" s="61"/>
      <c r="BL33" s="8" t="s">
        <v>67</v>
      </c>
      <c r="BM33" s="59">
        <v>4.6395911780527159</v>
      </c>
      <c r="BO33" s="8" t="s">
        <v>103</v>
      </c>
      <c r="BP33" s="59">
        <v>4.0297714523667354</v>
      </c>
    </row>
    <row r="34" spans="1:68" s="90" customFormat="1" ht="13.75" customHeight="1" x14ac:dyDescent="0.25">
      <c r="A34" s="86" t="s">
        <v>84</v>
      </c>
      <c r="B34" s="87" t="s">
        <v>85</v>
      </c>
      <c r="C34" s="88">
        <f>Actual!M34</f>
        <v>58776</v>
      </c>
      <c r="D34" s="88">
        <f>Actual!N34</f>
        <v>53839</v>
      </c>
      <c r="E34" s="88">
        <f>Actual!O34</f>
        <v>61201</v>
      </c>
      <c r="F34" s="88">
        <v>67900</v>
      </c>
      <c r="G34" s="88">
        <v>71927</v>
      </c>
      <c r="H34" s="88"/>
      <c r="I34" s="88">
        <f>Actual!AA34</f>
        <v>28617</v>
      </c>
      <c r="J34" s="88">
        <f>Actual!AB34</f>
        <v>27695</v>
      </c>
      <c r="K34" s="88">
        <f>Actual!AC34</f>
        <v>31373</v>
      </c>
      <c r="L34" s="88">
        <v>30738</v>
      </c>
      <c r="M34" s="88">
        <v>28463</v>
      </c>
      <c r="N34" s="88"/>
      <c r="O34" s="88">
        <f>Actual!AO34</f>
        <v>20585</v>
      </c>
      <c r="P34" s="88">
        <f>Actual!AP34</f>
        <v>21865</v>
      </c>
      <c r="Q34" s="88">
        <f>Actual!AQ34</f>
        <v>22352</v>
      </c>
      <c r="R34" s="88">
        <v>23561</v>
      </c>
      <c r="S34" s="88">
        <v>24242</v>
      </c>
      <c r="T34" s="88"/>
      <c r="U34" s="88">
        <f>Actual!BD34</f>
        <v>143499</v>
      </c>
      <c r="V34" s="88">
        <f>Actual!BE34</f>
        <v>140202</v>
      </c>
      <c r="W34" s="88">
        <f>Actual!BF34</f>
        <v>152273</v>
      </c>
      <c r="X34" s="88">
        <f>262260-97072</f>
        <v>165188</v>
      </c>
      <c r="Y34" s="88">
        <f>251384-86485</f>
        <v>164899</v>
      </c>
      <c r="Z34" s="89">
        <v>46037</v>
      </c>
      <c r="AA34" s="90" t="s">
        <v>158</v>
      </c>
      <c r="AC34" s="91" t="s">
        <v>84</v>
      </c>
      <c r="AD34" s="92">
        <f t="shared" si="16"/>
        <v>-8.3996869470532189</v>
      </c>
      <c r="AE34" s="92">
        <f t="shared" si="16"/>
        <v>13.674102416463901</v>
      </c>
      <c r="AF34" s="96">
        <f>(F34-E34)/E34*100</f>
        <v>10.945899576804301</v>
      </c>
      <c r="AG34" s="96">
        <f>(G34-F34)/F34*100</f>
        <v>5.9307805596465393</v>
      </c>
      <c r="AH34" s="92"/>
      <c r="AI34" s="92">
        <f t="shared" si="17"/>
        <v>-3.221861131495265</v>
      </c>
      <c r="AJ34" s="92">
        <f t="shared" si="17"/>
        <v>13.280375519046759</v>
      </c>
      <c r="AK34" s="96">
        <f t="shared" si="17"/>
        <v>-2.0240334045198103</v>
      </c>
      <c r="AL34" s="96">
        <f t="shared" si="17"/>
        <v>-7.4012622812154332</v>
      </c>
      <c r="AN34" s="92">
        <f t="shared" si="18"/>
        <v>6.2181199902841877</v>
      </c>
      <c r="AO34" s="92">
        <f t="shared" si="18"/>
        <v>2.2273039103590215</v>
      </c>
      <c r="AP34" s="92">
        <f t="shared" si="18"/>
        <v>5.4089119541875448</v>
      </c>
      <c r="AQ34" s="92">
        <f t="shared" si="18"/>
        <v>2.8903696787063371</v>
      </c>
      <c r="AS34" s="92">
        <f t="shared" si="19"/>
        <v>-2.2975769865992097</v>
      </c>
      <c r="AT34" s="92">
        <f t="shared" si="19"/>
        <v>8.6097202607666077</v>
      </c>
      <c r="AU34" s="92">
        <f t="shared" si="19"/>
        <v>8.481477346607738</v>
      </c>
      <c r="AV34" s="92">
        <f t="shared" si="19"/>
        <v>-0.17495217570283556</v>
      </c>
      <c r="AW34" s="92"/>
      <c r="AX34" s="93"/>
      <c r="AY34" s="87"/>
      <c r="AZ34" s="87" t="s">
        <v>103</v>
      </c>
      <c r="BA34" s="92">
        <v>3.4541425613228061</v>
      </c>
      <c r="BC34" s="87" t="s">
        <v>109</v>
      </c>
      <c r="BD34" s="92">
        <v>3.586077712893966</v>
      </c>
      <c r="BE34" s="92"/>
      <c r="BF34" s="94"/>
      <c r="BG34" s="92"/>
      <c r="BI34" s="94"/>
      <c r="BJ34" s="92"/>
      <c r="BK34" s="95"/>
      <c r="BL34" s="87" t="s">
        <v>117</v>
      </c>
      <c r="BM34" s="92">
        <v>4.9116347206062647</v>
      </c>
      <c r="BO34" s="87" t="s">
        <v>117</v>
      </c>
      <c r="BP34" s="92">
        <v>4.2157324540744199</v>
      </c>
    </row>
    <row r="35" spans="1:68" ht="13.75" customHeight="1" x14ac:dyDescent="0.25">
      <c r="A35" s="17" t="s">
        <v>86</v>
      </c>
      <c r="B35" s="8" t="s">
        <v>87</v>
      </c>
      <c r="C35" s="13">
        <f>Actual!M35</f>
        <v>16762.5</v>
      </c>
      <c r="D35" s="13">
        <f>Actual!N35</f>
        <v>16562.900000000001</v>
      </c>
      <c r="E35" s="13">
        <f>Actual!O35</f>
        <v>17012.2</v>
      </c>
      <c r="F35" s="13"/>
      <c r="G35" s="13"/>
      <c r="H35" s="65"/>
      <c r="I35" s="13">
        <f>Actual!AA35</f>
        <v>2483</v>
      </c>
      <c r="J35" s="13">
        <f>Actual!AB35</f>
        <v>2293.6</v>
      </c>
      <c r="K35" s="13">
        <f>Actual!AC35</f>
        <v>2344.6999999999998</v>
      </c>
      <c r="L35" s="13"/>
      <c r="M35" s="13"/>
      <c r="N35" s="13"/>
      <c r="O35" s="13">
        <f>Actual!AO35</f>
        <v>10801.2</v>
      </c>
      <c r="P35" s="13">
        <f>Actual!AP35</f>
        <v>10905.8</v>
      </c>
      <c r="Q35" s="13">
        <f>Actual!AQ35</f>
        <v>11006.2</v>
      </c>
      <c r="R35" s="13"/>
      <c r="S35" s="13"/>
      <c r="T35" s="13"/>
      <c r="U35" s="13">
        <f>Actual!BD35</f>
        <v>33535.4</v>
      </c>
      <c r="V35" s="13">
        <f>Actual!BE35</f>
        <v>33693.800000000003</v>
      </c>
      <c r="W35" s="13">
        <f>Actual!BF35</f>
        <v>34559</v>
      </c>
      <c r="X35" s="13"/>
      <c r="Y35" s="13"/>
      <c r="Z35" s="56"/>
      <c r="AA35" s="2" t="s">
        <v>152</v>
      </c>
      <c r="AB35" s="12"/>
      <c r="AC35" s="66" t="s">
        <v>86</v>
      </c>
      <c r="AD35" s="67"/>
      <c r="AE35" s="67"/>
      <c r="AF35" s="67"/>
      <c r="AG35" s="67"/>
      <c r="AH35" s="67"/>
      <c r="AI35" s="67"/>
      <c r="AJ35" s="67"/>
      <c r="AK35" s="67"/>
      <c r="AL35" s="67"/>
      <c r="AM35" s="68"/>
      <c r="AN35" s="67"/>
      <c r="AO35" s="67"/>
      <c r="AP35" s="67"/>
      <c r="AQ35" s="67"/>
      <c r="AR35" s="68"/>
      <c r="AS35" s="67"/>
      <c r="AT35" s="67"/>
      <c r="AU35" s="67"/>
      <c r="AV35" s="67"/>
      <c r="AW35" s="59"/>
      <c r="AX35" s="60"/>
      <c r="AY35" s="8"/>
      <c r="AZ35" s="8" t="s">
        <v>61</v>
      </c>
      <c r="BA35" s="59">
        <v>4.0721646758452845</v>
      </c>
      <c r="BB35" s="59"/>
      <c r="BC35" s="8" t="s">
        <v>71</v>
      </c>
      <c r="BD35" s="59">
        <v>3.8022813688212929</v>
      </c>
      <c r="BE35" s="59"/>
      <c r="BF35" s="8"/>
      <c r="BG35" s="59"/>
      <c r="BI35" s="8"/>
      <c r="BJ35" s="59"/>
      <c r="BK35" s="61"/>
      <c r="BL35" s="8" t="s">
        <v>85</v>
      </c>
      <c r="BM35" s="59">
        <v>5.4089119541875448</v>
      </c>
      <c r="BO35" s="8" t="s">
        <v>33</v>
      </c>
      <c r="BP35" s="59">
        <v>4.4325800844300929</v>
      </c>
    </row>
    <row r="36" spans="1:68" ht="13.75" customHeight="1" x14ac:dyDescent="0.25">
      <c r="A36" s="17" t="s">
        <v>88</v>
      </c>
      <c r="B36" s="8" t="s">
        <v>89</v>
      </c>
      <c r="C36" s="13">
        <f>Actual!M36</f>
        <v>482.78238700000003</v>
      </c>
      <c r="D36" s="13">
        <f>Actual!N36</f>
        <v>355.00178099999999</v>
      </c>
      <c r="E36" s="13">
        <f>Actual!O36</f>
        <v>453.20509199999998</v>
      </c>
      <c r="F36" s="13"/>
      <c r="G36" s="13"/>
      <c r="H36" s="65"/>
      <c r="I36" s="13">
        <f>Actual!AA36</f>
        <v>308.26093900000001</v>
      </c>
      <c r="J36" s="13">
        <f>Actual!AB36</f>
        <v>276.65746799999999</v>
      </c>
      <c r="K36" s="13">
        <f>Actual!AC36</f>
        <v>330.598232</v>
      </c>
      <c r="L36" s="13"/>
      <c r="M36" s="13"/>
      <c r="N36" s="13"/>
      <c r="O36" s="13">
        <f>Actual!AO36</f>
        <v>1154.5302099999999</v>
      </c>
      <c r="P36" s="13">
        <f>Actual!AP36</f>
        <v>1200.1613769999999</v>
      </c>
      <c r="Q36" s="13">
        <f>Actual!AQ36</f>
        <v>1253.7591950000001</v>
      </c>
      <c r="R36" s="13"/>
      <c r="S36" s="13"/>
      <c r="T36" s="13"/>
      <c r="U36" s="13">
        <f>Actual!BD36</f>
        <v>2724.5529980000001</v>
      </c>
      <c r="V36" s="13">
        <f>Actual!BE36</f>
        <v>3012.514784</v>
      </c>
      <c r="W36" s="13">
        <f>Actual!BF36</f>
        <v>2625.7071390000001</v>
      </c>
      <c r="X36" s="13"/>
      <c r="Y36" s="13"/>
      <c r="Z36" s="56"/>
      <c r="AC36" s="66" t="s">
        <v>88</v>
      </c>
      <c r="AD36" s="67"/>
      <c r="AE36" s="67"/>
      <c r="AF36" s="67"/>
      <c r="AG36" s="67"/>
      <c r="AH36" s="67"/>
      <c r="AI36" s="67"/>
      <c r="AJ36" s="67"/>
      <c r="AK36" s="67"/>
      <c r="AL36" s="67"/>
      <c r="AM36" s="68"/>
      <c r="AN36" s="67"/>
      <c r="AO36" s="67"/>
      <c r="AP36" s="67"/>
      <c r="AQ36" s="67"/>
      <c r="AR36" s="68"/>
      <c r="AS36" s="67"/>
      <c r="AT36" s="67"/>
      <c r="AU36" s="67"/>
      <c r="AV36" s="67"/>
      <c r="AW36" s="59"/>
      <c r="AX36" s="60"/>
      <c r="AY36" s="8"/>
      <c r="AZ36" s="8" t="s">
        <v>97</v>
      </c>
      <c r="BA36" s="59">
        <v>4.1190818903474344</v>
      </c>
      <c r="BB36" s="59"/>
      <c r="BC36" s="8" t="s">
        <v>51</v>
      </c>
      <c r="BD36" s="59">
        <v>4.1802022678516702</v>
      </c>
      <c r="BE36" s="59"/>
      <c r="BF36" s="8"/>
      <c r="BG36" s="59"/>
      <c r="BI36" s="8"/>
      <c r="BJ36" s="59"/>
      <c r="BK36" s="61"/>
      <c r="BL36" s="8" t="s">
        <v>49</v>
      </c>
      <c r="BM36" s="59">
        <v>5.6076436235741021</v>
      </c>
      <c r="BO36" s="8" t="s">
        <v>75</v>
      </c>
      <c r="BP36" s="59">
        <v>4.5405905718796236</v>
      </c>
    </row>
    <row r="37" spans="1:68" ht="13.75" customHeight="1" x14ac:dyDescent="0.25">
      <c r="A37" s="7" t="s">
        <v>90</v>
      </c>
      <c r="B37" s="8" t="s">
        <v>91</v>
      </c>
      <c r="C37" s="13">
        <f>Actual!M37</f>
        <v>10797.208000000001</v>
      </c>
      <c r="D37" s="13">
        <f>Actual!N37</f>
        <v>9519.2999999999993</v>
      </c>
      <c r="E37" s="13">
        <f>Actual!O37</f>
        <v>10461.519</v>
      </c>
      <c r="F37" s="13"/>
      <c r="G37" s="13"/>
      <c r="H37" s="65"/>
      <c r="I37" s="13">
        <f>Actual!AA37</f>
        <v>239.23599999999999</v>
      </c>
      <c r="J37" s="13">
        <f>Actual!AB37</f>
        <v>204.9</v>
      </c>
      <c r="K37" s="13">
        <f>Actual!AC37</f>
        <v>200.58600000000001</v>
      </c>
      <c r="L37" s="13"/>
      <c r="M37" s="13"/>
      <c r="N37" s="13"/>
      <c r="O37" s="13">
        <f>Actual!AO37</f>
        <v>13483.137000000001</v>
      </c>
      <c r="P37" s="13">
        <f>Actual!AP37</f>
        <v>13700.5</v>
      </c>
      <c r="Q37" s="13">
        <f>Actual!AQ37</f>
        <v>14144.773999999999</v>
      </c>
      <c r="R37" s="13"/>
      <c r="S37" s="13"/>
      <c r="T37" s="13"/>
      <c r="U37" s="13">
        <f>Actual!BD37</f>
        <v>28915.687000000002</v>
      </c>
      <c r="V37" s="13">
        <f>Actual!BE37</f>
        <v>27944.5</v>
      </c>
      <c r="W37" s="13">
        <f>Actual!BF37</f>
        <v>29220.222000000002</v>
      </c>
      <c r="X37" s="13"/>
      <c r="Y37" s="13"/>
      <c r="Z37" s="56"/>
      <c r="AA37" s="2" t="s">
        <v>159</v>
      </c>
      <c r="AC37" s="66" t="s">
        <v>90</v>
      </c>
      <c r="AD37" s="67"/>
      <c r="AE37" s="67"/>
      <c r="AF37" s="67"/>
      <c r="AG37" s="67"/>
      <c r="AH37" s="67"/>
      <c r="AI37" s="67"/>
      <c r="AJ37" s="67"/>
      <c r="AK37" s="67"/>
      <c r="AL37" s="67"/>
      <c r="AM37" s="68"/>
      <c r="AN37" s="67"/>
      <c r="AO37" s="67"/>
      <c r="AP37" s="67"/>
      <c r="AQ37" s="67"/>
      <c r="AR37" s="68"/>
      <c r="AS37" s="67"/>
      <c r="AT37" s="67"/>
      <c r="AU37" s="67"/>
      <c r="AV37" s="67"/>
      <c r="AW37" s="59"/>
      <c r="AX37" s="60"/>
      <c r="AY37" s="8"/>
      <c r="AZ37" s="8" t="s">
        <v>49</v>
      </c>
      <c r="BA37" s="59">
        <v>4.161867914342265</v>
      </c>
      <c r="BB37" s="59"/>
      <c r="BC37" s="8" t="s">
        <v>27</v>
      </c>
      <c r="BD37" s="59">
        <v>4.1819180567428615</v>
      </c>
      <c r="BE37" s="59"/>
      <c r="BF37" s="8"/>
      <c r="BG37" s="59"/>
      <c r="BI37" s="8"/>
      <c r="BJ37" s="59"/>
      <c r="BK37" s="61"/>
      <c r="BL37" s="8" t="s">
        <v>115</v>
      </c>
      <c r="BM37" s="59">
        <v>6.9386437964267342</v>
      </c>
      <c r="BO37" s="8" t="s">
        <v>61</v>
      </c>
      <c r="BP37" s="59">
        <v>4.6814646001429674</v>
      </c>
    </row>
    <row r="38" spans="1:68" ht="13.75" customHeight="1" x14ac:dyDescent="0.25">
      <c r="A38" s="71" t="s">
        <v>92</v>
      </c>
      <c r="B38" s="8" t="s">
        <v>93</v>
      </c>
      <c r="C38" s="9">
        <f>Actual!M38</f>
        <v>3372.6308519999998</v>
      </c>
      <c r="D38" s="9">
        <f>Actual!N38</f>
        <v>3253.438815</v>
      </c>
      <c r="E38" s="9">
        <f>Actual!O38</f>
        <v>3518.7149460000001</v>
      </c>
      <c r="F38" s="9">
        <v>3401.5210400000001</v>
      </c>
      <c r="G38" s="9">
        <v>3421.174078</v>
      </c>
      <c r="H38" s="9"/>
      <c r="I38" s="9">
        <f>Actual!AA38</f>
        <v>598.49755000000005</v>
      </c>
      <c r="J38" s="9">
        <f>Actual!AB38</f>
        <v>331.79364600000002</v>
      </c>
      <c r="K38" s="9">
        <f>Actual!AC38</f>
        <v>481.65537399999999</v>
      </c>
      <c r="L38" s="9">
        <v>535.72952299999997</v>
      </c>
      <c r="M38" s="9">
        <v>462.986288</v>
      </c>
      <c r="N38" s="9"/>
      <c r="O38" s="9">
        <f>Actual!AO38</f>
        <v>3113.0244469999998</v>
      </c>
      <c r="P38" s="9">
        <f>Actual!AP38</f>
        <v>3128.2555179999999</v>
      </c>
      <c r="Q38" s="9">
        <f>Actual!AQ38</f>
        <v>2837.7726929999999</v>
      </c>
      <c r="R38" s="9">
        <f>2309.639614+564.449733</f>
        <v>2874.0893470000001</v>
      </c>
      <c r="S38" s="9">
        <f>2370.460738+602.257661</f>
        <v>2972.7183990000003</v>
      </c>
      <c r="T38" s="9"/>
      <c r="U38" s="9">
        <f>Actual!BD38</f>
        <v>9104.3013350000001</v>
      </c>
      <c r="V38" s="9">
        <f>Actual!BE38</f>
        <v>8466.2585010000003</v>
      </c>
      <c r="W38" s="9">
        <f>Actual!BF38</f>
        <v>8745.4159720000007</v>
      </c>
      <c r="X38" s="9">
        <v>8488.7850720000006</v>
      </c>
      <c r="Y38" s="9">
        <v>8552.7224679999999</v>
      </c>
      <c r="Z38" s="56">
        <v>46010</v>
      </c>
      <c r="AA38" s="2" t="s">
        <v>152</v>
      </c>
      <c r="AC38" s="57" t="s">
        <v>92</v>
      </c>
      <c r="AD38" s="58">
        <f>(D38-C38)/C38*100</f>
        <v>-3.5340967402144789</v>
      </c>
      <c r="AE38" s="58">
        <f>(E38-D38)/D38*100</f>
        <v>8.1537150714789171</v>
      </c>
      <c r="AF38" s="58">
        <f>(F38-E38)/E38*100</f>
        <v>-3.3305882345832956</v>
      </c>
      <c r="AG38" s="58">
        <f>(G38-F38)/F38*100</f>
        <v>0.57777205458649528</v>
      </c>
      <c r="AH38" s="58"/>
      <c r="AI38" s="59">
        <f>(J38-I38)/I38*100</f>
        <v>-44.562238224701176</v>
      </c>
      <c r="AJ38" s="59">
        <f>(K38-J38)/J38*100</f>
        <v>45.167148258167657</v>
      </c>
      <c r="AK38" s="59">
        <f>(L38-K38)/K38*100</f>
        <v>11.226730130908907</v>
      </c>
      <c r="AL38" s="59">
        <f>(M38-L38)/L38*100</f>
        <v>-13.578350991867957</v>
      </c>
      <c r="AN38" s="59">
        <f>(P38-O38)/O38*100</f>
        <v>0.48926923830226376</v>
      </c>
      <c r="AO38" s="59">
        <f>(Q38-P38)/P38*100</f>
        <v>-9.2857767956792614</v>
      </c>
      <c r="AP38" s="59">
        <f>(R38-Q38)/Q38*100</f>
        <v>1.279759090274684</v>
      </c>
      <c r="AQ38" s="59">
        <f>(S38-R38)/R38*100</f>
        <v>3.4316626970191484</v>
      </c>
      <c r="AS38" s="59">
        <f>(V38-U38)/U38*100</f>
        <v>-7.0081471441103158</v>
      </c>
      <c r="AT38" s="59">
        <f>(W38-V38)/V38*100</f>
        <v>3.2972944420138774</v>
      </c>
      <c r="AU38" s="59">
        <f>(X38-W38)/W38*100</f>
        <v>-2.9344619034892041</v>
      </c>
      <c r="AV38" s="59">
        <f>(Y38-X38)/X38*100</f>
        <v>0.75319843131492292</v>
      </c>
      <c r="AW38" s="59"/>
      <c r="AX38" s="60"/>
      <c r="AY38" s="8"/>
      <c r="AZ38" s="8" t="s">
        <v>27</v>
      </c>
      <c r="BA38" s="59">
        <v>4.5328263449371615</v>
      </c>
      <c r="BB38" s="59"/>
      <c r="BC38" s="8" t="s">
        <v>115</v>
      </c>
      <c r="BD38" s="59">
        <v>4.6664671572251759</v>
      </c>
      <c r="BE38" s="59"/>
      <c r="BF38" s="8"/>
      <c r="BG38" s="59"/>
      <c r="BI38" s="8"/>
      <c r="BJ38" s="59"/>
      <c r="BK38" s="61"/>
      <c r="BL38" s="8" t="s">
        <v>61</v>
      </c>
      <c r="BM38" s="59">
        <v>8.4981809735036347</v>
      </c>
      <c r="BO38" s="8" t="s">
        <v>107</v>
      </c>
      <c r="BP38" s="59">
        <v>4.695502605538505</v>
      </c>
    </row>
    <row r="39" spans="1:68" ht="13.75" customHeight="1" x14ac:dyDescent="0.25">
      <c r="A39" s="71" t="s">
        <v>94</v>
      </c>
      <c r="B39" s="8" t="s">
        <v>95</v>
      </c>
      <c r="C39" s="9">
        <f>Actual!M39</f>
        <v>13246.856486000001</v>
      </c>
      <c r="D39" s="9">
        <f>Actual!N39</f>
        <v>9128.4079999999994</v>
      </c>
      <c r="E39" s="9">
        <f>Actual!O39</f>
        <v>13041.019</v>
      </c>
      <c r="F39" s="9">
        <v>14228.739</v>
      </c>
      <c r="G39" s="9">
        <v>15737.968999999999</v>
      </c>
      <c r="H39" s="9"/>
      <c r="I39" s="9">
        <f>Actual!AA39</f>
        <v>1618.5180319999999</v>
      </c>
      <c r="J39" s="9">
        <f>Actual!AB39</f>
        <v>1623.0830000000001</v>
      </c>
      <c r="K39" s="9">
        <f>Actual!AC39</f>
        <v>1527.6869999999999</v>
      </c>
      <c r="L39" s="9">
        <v>1771.75</v>
      </c>
      <c r="M39" s="9">
        <v>1670.44</v>
      </c>
      <c r="N39" s="9"/>
      <c r="O39" s="9" t="str">
        <f>Actual!AO39</f>
        <v>N/A</v>
      </c>
      <c r="P39" s="9" t="str">
        <f>Actual!AP39</f>
        <v>N/A</v>
      </c>
      <c r="Q39" s="9" t="str">
        <f>Actual!AQ39</f>
        <v>N/A</v>
      </c>
      <c r="R39" s="9" t="s">
        <v>24</v>
      </c>
      <c r="S39" s="9" t="s">
        <v>24</v>
      </c>
      <c r="T39" s="9"/>
      <c r="U39" s="9">
        <f>Actual!BD39</f>
        <v>15759.2</v>
      </c>
      <c r="V39" s="9">
        <f>Actual!BE39</f>
        <v>11878.415000000001</v>
      </c>
      <c r="W39" s="9">
        <f>Actual!BF39</f>
        <v>15505.895</v>
      </c>
      <c r="X39" s="9">
        <v>17020.558000000001</v>
      </c>
      <c r="Y39" s="9">
        <v>18326.342000000001</v>
      </c>
      <c r="Z39" s="56">
        <v>46054</v>
      </c>
      <c r="AA39" s="2" t="s">
        <v>152</v>
      </c>
      <c r="AC39" s="57" t="s">
        <v>94</v>
      </c>
      <c r="AD39" s="58">
        <f t="shared" si="16"/>
        <v>-31.090006073158577</v>
      </c>
      <c r="AE39" s="58">
        <f t="shared" si="16"/>
        <v>42.861920720458606</v>
      </c>
      <c r="AF39" s="58">
        <f t="shared" si="16"/>
        <v>9.1075705050349161</v>
      </c>
      <c r="AG39" s="58">
        <f t="shared" si="16"/>
        <v>10.606913233843136</v>
      </c>
      <c r="AH39" s="58"/>
      <c r="AI39" s="59">
        <f t="shared" ref="AI39:AL42" si="20">(J39-I39)/I39*100</f>
        <v>0.28204616258486859</v>
      </c>
      <c r="AJ39" s="59">
        <f t="shared" si="20"/>
        <v>-5.8774566673423472</v>
      </c>
      <c r="AK39" s="59">
        <f t="shared" si="20"/>
        <v>15.975981991075406</v>
      </c>
      <c r="AL39" s="59">
        <f t="shared" si="20"/>
        <v>-5.7180753492309835</v>
      </c>
      <c r="AN39" s="58" t="s">
        <v>24</v>
      </c>
      <c r="AO39" s="58" t="s">
        <v>24</v>
      </c>
      <c r="AP39" s="58" t="s">
        <v>24</v>
      </c>
      <c r="AQ39" s="58" t="s">
        <v>24</v>
      </c>
      <c r="AS39" s="59">
        <f t="shared" ref="AS39:AV52" si="21">(V39-U39)/U39*100</f>
        <v>-24.625520330981267</v>
      </c>
      <c r="AT39" s="59">
        <f t="shared" si="21"/>
        <v>30.538417793956512</v>
      </c>
      <c r="AU39" s="59">
        <f t="shared" si="21"/>
        <v>9.7683042481585254</v>
      </c>
      <c r="AV39" s="59">
        <f t="shared" si="21"/>
        <v>7.6718048844227056</v>
      </c>
      <c r="AW39" s="59"/>
      <c r="AX39" s="60"/>
      <c r="AY39" s="8"/>
      <c r="AZ39" s="8" t="s">
        <v>115</v>
      </c>
      <c r="BA39" s="59">
        <v>5.5259018910919266</v>
      </c>
      <c r="BC39" s="8" t="s">
        <v>35</v>
      </c>
      <c r="BD39" s="59">
        <v>6.2692283040635814</v>
      </c>
      <c r="BE39" s="59"/>
      <c r="BF39" s="8"/>
      <c r="BG39" s="59"/>
      <c r="BI39" s="8"/>
      <c r="BJ39" s="59"/>
      <c r="BK39" s="61"/>
      <c r="BL39" s="8" t="s">
        <v>57</v>
      </c>
      <c r="BM39" s="59">
        <v>10.99907588048055</v>
      </c>
      <c r="BO39" s="8" t="s">
        <v>45</v>
      </c>
      <c r="BP39" s="59">
        <v>7.967018631081535</v>
      </c>
    </row>
    <row r="40" spans="1:68" ht="13.75" customHeight="1" x14ac:dyDescent="0.25">
      <c r="A40" s="12" t="s">
        <v>96</v>
      </c>
      <c r="B40" s="8" t="s">
        <v>97</v>
      </c>
      <c r="C40" s="9">
        <f>Actual!M40</f>
        <v>17628.099999999999</v>
      </c>
      <c r="D40" s="9">
        <f>Actual!N40</f>
        <v>17856.8</v>
      </c>
      <c r="E40" s="9">
        <f>Actual!O40</f>
        <v>18956.5</v>
      </c>
      <c r="F40" s="9">
        <v>19705</v>
      </c>
      <c r="G40" s="9">
        <v>20630</v>
      </c>
      <c r="H40" s="9"/>
      <c r="I40" s="9">
        <f>Actual!AA40</f>
        <v>6142.9</v>
      </c>
      <c r="J40" s="9">
        <f>Actual!AB40</f>
        <v>5651.5</v>
      </c>
      <c r="K40" s="9">
        <f>Actual!AC40</f>
        <v>4719.8999999999996</v>
      </c>
      <c r="L40" s="13">
        <v>4940</v>
      </c>
      <c r="M40" s="13">
        <v>4760</v>
      </c>
      <c r="N40" s="9"/>
      <c r="O40" s="9">
        <f>Actual!AO40</f>
        <v>14024.4</v>
      </c>
      <c r="P40" s="9">
        <f>Actual!AP40</f>
        <v>14255.9</v>
      </c>
      <c r="Q40" s="9">
        <f>Actual!AQ40</f>
        <v>14693.2</v>
      </c>
      <c r="R40" s="9">
        <v>15250</v>
      </c>
      <c r="S40" s="9">
        <v>15640</v>
      </c>
      <c r="T40" s="9"/>
      <c r="U40" s="9">
        <f>Actual!BD40</f>
        <v>44917.1</v>
      </c>
      <c r="V40" s="9">
        <f>Actual!BE40</f>
        <v>45473.5</v>
      </c>
      <c r="W40" s="9">
        <f>Actual!BF40</f>
        <v>46408.4</v>
      </c>
      <c r="X40" s="9">
        <v>48320</v>
      </c>
      <c r="Y40" s="9">
        <v>48926</v>
      </c>
      <c r="Z40" s="72">
        <v>45981</v>
      </c>
      <c r="AA40" s="2" t="s">
        <v>152</v>
      </c>
      <c r="AC40" s="57" t="s">
        <v>96</v>
      </c>
      <c r="AD40" s="58">
        <f t="shared" si="16"/>
        <v>1.2973604642587728</v>
      </c>
      <c r="AE40" s="58">
        <f t="shared" si="16"/>
        <v>6.1584382420142507</v>
      </c>
      <c r="AF40" s="58">
        <f t="shared" si="16"/>
        <v>3.9485137024239703</v>
      </c>
      <c r="AG40" s="58">
        <f t="shared" si="16"/>
        <v>4.6942400405988325</v>
      </c>
      <c r="AH40" s="58"/>
      <c r="AI40" s="59">
        <f t="shared" si="20"/>
        <v>-7.9994790734018082</v>
      </c>
      <c r="AJ40" s="59">
        <f t="shared" si="20"/>
        <v>-16.484119260373358</v>
      </c>
      <c r="AK40" s="59">
        <f t="shared" si="20"/>
        <v>4.66323439055913</v>
      </c>
      <c r="AL40" s="59">
        <f t="shared" si="20"/>
        <v>-3.6437246963562751</v>
      </c>
      <c r="AN40" s="59">
        <f t="shared" ref="AN40:AQ52" si="22">(P40-O40)/O40*100</f>
        <v>1.6506945038646932</v>
      </c>
      <c r="AO40" s="59">
        <f t="shared" si="22"/>
        <v>3.0675018764160882</v>
      </c>
      <c r="AP40" s="59">
        <f t="shared" si="22"/>
        <v>3.7895080717610816</v>
      </c>
      <c r="AQ40" s="59">
        <f>(S40-R40)/R40*100</f>
        <v>2.5573770491803276</v>
      </c>
      <c r="AS40" s="59">
        <f t="shared" si="21"/>
        <v>1.2387264538449754</v>
      </c>
      <c r="AT40" s="59">
        <f t="shared" si="21"/>
        <v>2.0559226802423423</v>
      </c>
      <c r="AU40" s="59">
        <f t="shared" si="21"/>
        <v>4.1190818903474344</v>
      </c>
      <c r="AV40" s="59">
        <f t="shared" si="21"/>
        <v>1.2541390728476822</v>
      </c>
      <c r="AW40" s="59"/>
      <c r="AX40" s="60"/>
      <c r="AY40" s="8"/>
      <c r="AZ40" s="8" t="s">
        <v>85</v>
      </c>
      <c r="BA40" s="59">
        <v>8.481477346607738</v>
      </c>
      <c r="BC40" s="8" t="s">
        <v>95</v>
      </c>
      <c r="BD40" s="59">
        <v>7.6718048844227056</v>
      </c>
      <c r="BE40" s="59"/>
      <c r="BF40" s="8"/>
      <c r="BG40" s="59"/>
      <c r="BI40" s="8"/>
      <c r="BJ40" s="59"/>
      <c r="BK40" s="61"/>
      <c r="BL40" s="55"/>
      <c r="BM40" s="59"/>
      <c r="BO40" s="55"/>
      <c r="BP40" s="59"/>
    </row>
    <row r="41" spans="1:68" ht="13.75" customHeight="1" x14ac:dyDescent="0.25">
      <c r="A41" s="71" t="s">
        <v>98</v>
      </c>
      <c r="B41" s="8" t="s">
        <v>99</v>
      </c>
      <c r="C41" s="9">
        <f>Actual!M41</f>
        <v>1813.60511</v>
      </c>
      <c r="D41" s="9">
        <f>Actual!N41</f>
        <v>1819.1930070000001</v>
      </c>
      <c r="E41" s="9">
        <f>Actual!O41</f>
        <v>1975.290305</v>
      </c>
      <c r="F41" s="9">
        <v>2056.4</v>
      </c>
      <c r="G41" s="9">
        <v>2130.8000000000002</v>
      </c>
      <c r="H41" s="9"/>
      <c r="I41" s="9">
        <f>Actual!AA41</f>
        <v>304.22551500000003</v>
      </c>
      <c r="J41" s="9">
        <f>Actual!AB41</f>
        <v>415.183042</v>
      </c>
      <c r="K41" s="9">
        <f>Actual!AC41</f>
        <v>340.39125200000001</v>
      </c>
      <c r="L41" s="9">
        <f>317+11.5</f>
        <v>328.5</v>
      </c>
      <c r="M41" s="9">
        <f>332+16.7</f>
        <v>348.7</v>
      </c>
      <c r="N41" s="9"/>
      <c r="O41" s="9">
        <f>Actual!AO41</f>
        <v>1564.768022</v>
      </c>
      <c r="P41" s="9">
        <f>Actual!AP41</f>
        <v>1635.427555</v>
      </c>
      <c r="Q41" s="9">
        <f>Actual!AQ41</f>
        <v>1672.708738</v>
      </c>
      <c r="R41" s="9">
        <v>1726</v>
      </c>
      <c r="S41" s="9">
        <v>1774.4</v>
      </c>
      <c r="T41" s="9"/>
      <c r="U41" s="9">
        <f>Actual!BD41</f>
        <v>5211.7294490000004</v>
      </c>
      <c r="V41" s="9">
        <f>Actual!BE41</f>
        <v>5418.7038409999996</v>
      </c>
      <c r="W41" s="9">
        <f>Actual!BF41</f>
        <v>5610.0136359999997</v>
      </c>
      <c r="X41" s="9">
        <v>5795.8</v>
      </c>
      <c r="Y41" s="9">
        <v>5706.6</v>
      </c>
      <c r="Z41" s="56">
        <v>45978</v>
      </c>
      <c r="AA41" s="2" t="s">
        <v>152</v>
      </c>
      <c r="AC41" s="57" t="s">
        <v>98</v>
      </c>
      <c r="AD41" s="58">
        <f t="shared" si="16"/>
        <v>0.30810990602028637</v>
      </c>
      <c r="AE41" s="58">
        <f t="shared" si="16"/>
        <v>8.5805792678049748</v>
      </c>
      <c r="AF41" s="58">
        <f t="shared" si="16"/>
        <v>4.1062164277670625</v>
      </c>
      <c r="AG41" s="58">
        <f t="shared" si="16"/>
        <v>3.6179731569733558</v>
      </c>
      <c r="AH41" s="58"/>
      <c r="AI41" s="59">
        <f t="shared" si="20"/>
        <v>36.472130550917129</v>
      </c>
      <c r="AJ41" s="59">
        <f t="shared" si="20"/>
        <v>-18.01417265014403</v>
      </c>
      <c r="AK41" s="59">
        <f t="shared" si="20"/>
        <v>-3.4934070514832176</v>
      </c>
      <c r="AL41" s="59">
        <f t="shared" si="20"/>
        <v>6.1491628614916252</v>
      </c>
      <c r="AN41" s="59">
        <f t="shared" si="22"/>
        <v>4.5156554841711873</v>
      </c>
      <c r="AO41" s="59">
        <f t="shared" si="22"/>
        <v>2.2795985603899194</v>
      </c>
      <c r="AP41" s="59">
        <f t="shared" si="22"/>
        <v>3.1859259648346474</v>
      </c>
      <c r="AQ41" s="59">
        <f t="shared" si="22"/>
        <v>2.8041714947856367</v>
      </c>
      <c r="AS41" s="59">
        <f t="shared" si="21"/>
        <v>3.9713188112577935</v>
      </c>
      <c r="AT41" s="59">
        <f t="shared" si="21"/>
        <v>3.5305453225267001</v>
      </c>
      <c r="AU41" s="59">
        <f t="shared" si="21"/>
        <v>3.3116918434527762</v>
      </c>
      <c r="AV41" s="59">
        <f t="shared" si="21"/>
        <v>-1.5390455157182756</v>
      </c>
      <c r="AW41" s="59"/>
      <c r="AX41" s="60"/>
      <c r="AY41" s="8"/>
      <c r="AZ41" s="8" t="s">
        <v>95</v>
      </c>
      <c r="BA41" s="59">
        <v>9.7683042481585254</v>
      </c>
      <c r="BC41" s="8" t="s">
        <v>33</v>
      </c>
      <c r="BD41" s="59">
        <v>8.6258098551893028</v>
      </c>
      <c r="BE41" s="59"/>
      <c r="BF41" s="8"/>
      <c r="BG41" s="59"/>
      <c r="BI41" s="8"/>
      <c r="BJ41" s="59"/>
      <c r="BK41" s="61"/>
      <c r="BL41" s="8"/>
      <c r="BM41" s="59"/>
      <c r="BO41" s="8"/>
      <c r="BP41" s="59"/>
    </row>
    <row r="42" spans="1:68" ht="13.75" customHeight="1" x14ac:dyDescent="0.25">
      <c r="A42" s="71" t="s">
        <v>100</v>
      </c>
      <c r="B42" s="8" t="s">
        <v>101</v>
      </c>
      <c r="C42" s="9">
        <f>Actual!M42</f>
        <v>5758.2118609999998</v>
      </c>
      <c r="D42" s="9">
        <f>Actual!N42</f>
        <v>6113.1848710000004</v>
      </c>
      <c r="E42" s="9">
        <f>Actual!O42</f>
        <v>6722.1869379999998</v>
      </c>
      <c r="F42" s="9">
        <v>6482.6310000000003</v>
      </c>
      <c r="G42" s="9">
        <v>6638.1540000000005</v>
      </c>
      <c r="H42" s="9"/>
      <c r="I42" s="9">
        <f>Actual!AA42</f>
        <v>1262.221843</v>
      </c>
      <c r="J42" s="9">
        <f>Actual!AB42</f>
        <v>1293.0637340000001</v>
      </c>
      <c r="K42" s="9">
        <f>Actual!AC42</f>
        <v>1321.6284599999999</v>
      </c>
      <c r="L42" s="9">
        <v>1204.3820000000001</v>
      </c>
      <c r="M42" s="9">
        <v>1204.3820000000001</v>
      </c>
      <c r="N42" s="9"/>
      <c r="O42" s="9">
        <f>Actual!AO42</f>
        <v>4660.0787849999997</v>
      </c>
      <c r="P42" s="9">
        <f>Actual!AP42</f>
        <v>4786.3799440000003</v>
      </c>
      <c r="Q42" s="9">
        <f>Actual!AQ42</f>
        <v>5027.4404270000005</v>
      </c>
      <c r="R42" s="9">
        <v>5229.2</v>
      </c>
      <c r="S42" s="9">
        <v>5408.12</v>
      </c>
      <c r="T42" s="9"/>
      <c r="U42" s="9">
        <f>Actual!BD42</f>
        <v>13094.202031999999</v>
      </c>
      <c r="V42" s="9">
        <f>Actual!BE42</f>
        <v>13707.680634</v>
      </c>
      <c r="W42" s="9">
        <f>Actual!BF42</f>
        <v>14858.558693000001</v>
      </c>
      <c r="X42" s="9">
        <v>14681.41</v>
      </c>
      <c r="Y42" s="9">
        <v>15009.879000000001</v>
      </c>
      <c r="Z42" s="56">
        <v>45979</v>
      </c>
      <c r="AA42" s="2" t="s">
        <v>152</v>
      </c>
      <c r="AC42" s="57" t="s">
        <v>100</v>
      </c>
      <c r="AD42" s="58">
        <f t="shared" si="16"/>
        <v>6.1646396237034988</v>
      </c>
      <c r="AE42" s="58">
        <f t="shared" si="16"/>
        <v>9.9621078022523193</v>
      </c>
      <c r="AF42" s="58">
        <f t="shared" si="16"/>
        <v>-3.5636607581650019</v>
      </c>
      <c r="AG42" s="58">
        <f t="shared" si="16"/>
        <v>2.3990722285442456</v>
      </c>
      <c r="AH42" s="58"/>
      <c r="AI42" s="59">
        <f t="shared" si="20"/>
        <v>2.4434604084093663</v>
      </c>
      <c r="AJ42" s="59">
        <f t="shared" si="20"/>
        <v>2.209073323217944</v>
      </c>
      <c r="AK42" s="59">
        <f t="shared" si="20"/>
        <v>-8.8713631363537555</v>
      </c>
      <c r="AL42" s="59">
        <f t="shared" si="20"/>
        <v>0</v>
      </c>
      <c r="AN42" s="59">
        <f t="shared" si="22"/>
        <v>2.710279478676251</v>
      </c>
      <c r="AO42" s="59">
        <f t="shared" si="22"/>
        <v>5.0363841947437384</v>
      </c>
      <c r="AP42" s="59">
        <f t="shared" si="22"/>
        <v>4.0131668575612416</v>
      </c>
      <c r="AQ42" s="59">
        <f t="shared" si="22"/>
        <v>3.4215558785282658</v>
      </c>
      <c r="AS42" s="59">
        <f t="shared" si="21"/>
        <v>4.6851163629579249</v>
      </c>
      <c r="AT42" s="59">
        <f t="shared" si="21"/>
        <v>8.395862799322936</v>
      </c>
      <c r="AU42" s="59">
        <f t="shared" si="21"/>
        <v>-1.1922333562773981</v>
      </c>
      <c r="AV42" s="59">
        <f t="shared" si="21"/>
        <v>2.2373123562382697</v>
      </c>
      <c r="AW42" s="59"/>
      <c r="AX42" s="60"/>
      <c r="AY42" s="8"/>
      <c r="AZ42" s="8" t="s">
        <v>75</v>
      </c>
      <c r="BA42" s="59">
        <v>14.787971002362744</v>
      </c>
      <c r="BC42" s="8" t="s">
        <v>121</v>
      </c>
      <c r="BD42" s="59">
        <v>22.012371676757041</v>
      </c>
      <c r="BE42" s="59"/>
      <c r="BF42" s="8"/>
      <c r="BG42" s="59"/>
      <c r="BI42" s="8"/>
      <c r="BJ42" s="59"/>
      <c r="BK42" s="61"/>
      <c r="BL42" s="8"/>
      <c r="BM42" s="59"/>
      <c r="BO42" s="8"/>
      <c r="BP42" s="59"/>
    </row>
    <row r="43" spans="1:68" ht="13.75" customHeight="1" x14ac:dyDescent="0.25">
      <c r="A43" s="71" t="s">
        <v>102</v>
      </c>
      <c r="B43" s="8" t="s">
        <v>103</v>
      </c>
      <c r="C43" s="9" t="str">
        <f>Actual!M43</f>
        <v>N/A</v>
      </c>
      <c r="D43" s="9" t="str">
        <f>Actual!N43</f>
        <v>N/A</v>
      </c>
      <c r="E43" s="9" t="str">
        <f>Actual!O43</f>
        <v>N/A</v>
      </c>
      <c r="F43" s="9" t="s">
        <v>24</v>
      </c>
      <c r="G43" s="9" t="s">
        <v>24</v>
      </c>
      <c r="H43" s="9"/>
      <c r="I43" s="9">
        <f>Actual!AA43</f>
        <v>20.425082</v>
      </c>
      <c r="J43" s="9">
        <f>Actual!AB43</f>
        <v>28.659255000000002</v>
      </c>
      <c r="K43" s="9">
        <f>Actual!AC43</f>
        <v>26.180028</v>
      </c>
      <c r="L43" s="9">
        <v>29.543801999999999</v>
      </c>
      <c r="M43" s="9">
        <v>30.044678000000001</v>
      </c>
      <c r="N43" s="9"/>
      <c r="O43" s="9">
        <f>Actual!AO43</f>
        <v>1480.57285</v>
      </c>
      <c r="P43" s="9">
        <f>Actual!AP43</f>
        <v>1441.67877</v>
      </c>
      <c r="Q43" s="9">
        <f>Actual!AQ43</f>
        <v>1432.6311370000001</v>
      </c>
      <c r="R43" s="9">
        <v>1496.145618</v>
      </c>
      <c r="S43" s="9">
        <v>1556.4368669999999</v>
      </c>
      <c r="T43" s="9"/>
      <c r="U43" s="9">
        <f>Actual!BD43</f>
        <v>2298.290062</v>
      </c>
      <c r="V43" s="9">
        <f>Actual!BE43</f>
        <v>2413.309338</v>
      </c>
      <c r="W43" s="9">
        <f>Actual!BF43</f>
        <v>2380.5490810000001</v>
      </c>
      <c r="X43" s="9">
        <v>2462.77664</v>
      </c>
      <c r="Y43" s="9">
        <v>2521.4387029999998</v>
      </c>
      <c r="Z43" s="56">
        <v>45992</v>
      </c>
      <c r="AA43" s="2" t="s">
        <v>152</v>
      </c>
      <c r="AC43" s="57" t="s">
        <v>102</v>
      </c>
      <c r="AD43" s="58" t="s">
        <v>24</v>
      </c>
      <c r="AE43" s="58" t="s">
        <v>24</v>
      </c>
      <c r="AF43" s="58" t="s">
        <v>24</v>
      </c>
      <c r="AG43" s="58" t="s">
        <v>24</v>
      </c>
      <c r="AH43" s="58"/>
      <c r="AI43" s="59">
        <f>(J43-I43)/I43*100</f>
        <v>40.314026646257787</v>
      </c>
      <c r="AJ43" s="59">
        <f>(K43-J43)/J43*100</f>
        <v>-8.6507028881246271</v>
      </c>
      <c r="AK43" s="59">
        <f>(L43-K43)/K43*100</f>
        <v>12.848626441499603</v>
      </c>
      <c r="AL43" s="59">
        <f>(M43-L43)/L43*100</f>
        <v>1.6953674411979935</v>
      </c>
      <c r="AN43" s="59">
        <f t="shared" si="22"/>
        <v>-2.6269615844975158</v>
      </c>
      <c r="AO43" s="59">
        <f t="shared" si="22"/>
        <v>-0.6275762110306935</v>
      </c>
      <c r="AP43" s="59">
        <f t="shared" si="22"/>
        <v>4.4334148099700235</v>
      </c>
      <c r="AQ43" s="59">
        <f t="shared" si="22"/>
        <v>4.0297714523667354</v>
      </c>
      <c r="AS43" s="59">
        <f t="shared" si="21"/>
        <v>5.0045587326740133</v>
      </c>
      <c r="AT43" s="59">
        <f t="shared" si="21"/>
        <v>-1.3574827099102664</v>
      </c>
      <c r="AU43" s="59">
        <f t="shared" si="21"/>
        <v>3.4541425613228061</v>
      </c>
      <c r="AV43" s="59">
        <f t="shared" si="21"/>
        <v>2.3819481656281978</v>
      </c>
      <c r="AW43" s="59"/>
      <c r="AX43" s="60"/>
      <c r="AY43" s="8"/>
      <c r="BE43" s="59"/>
      <c r="BF43" s="8"/>
      <c r="BG43" s="59"/>
      <c r="BI43" s="8"/>
      <c r="BJ43" s="59"/>
      <c r="BK43" s="61"/>
      <c r="BL43" s="8"/>
      <c r="BM43" s="59"/>
      <c r="BO43" s="8"/>
      <c r="BP43" s="59"/>
    </row>
    <row r="44" spans="1:68" ht="13.75" customHeight="1" x14ac:dyDescent="0.25">
      <c r="A44" s="73" t="s">
        <v>104</v>
      </c>
      <c r="B44" s="8" t="s">
        <v>105</v>
      </c>
      <c r="C44" s="9">
        <f>Actual!M44</f>
        <v>2.6623000000000001</v>
      </c>
      <c r="D44" s="9">
        <f>Actual!N44</f>
        <v>1.9802999999999999</v>
      </c>
      <c r="E44" s="9">
        <f>Actual!O44</f>
        <v>0</v>
      </c>
      <c r="F44" s="9">
        <v>0</v>
      </c>
      <c r="G44" s="9">
        <v>0</v>
      </c>
      <c r="H44" s="9"/>
      <c r="I44" s="9">
        <f>Actual!AA44</f>
        <v>4786.5730999999996</v>
      </c>
      <c r="J44" s="9">
        <f>Actual!AB44</f>
        <v>4600.4648999999999</v>
      </c>
      <c r="K44" s="9">
        <f>Actual!AC44</f>
        <v>3727.2020000000002</v>
      </c>
      <c r="L44" s="9">
        <f>1216.3+2707.1</f>
        <v>3923.3999999999996</v>
      </c>
      <c r="M44" s="9">
        <f>1178+2622</f>
        <v>3800</v>
      </c>
      <c r="N44" s="9"/>
      <c r="O44" s="9">
        <f>Actual!AO44</f>
        <v>13677.8735</v>
      </c>
      <c r="P44" s="9">
        <f>Actual!AP44</f>
        <v>13802.143899999999</v>
      </c>
      <c r="Q44" s="9">
        <f>Actual!AQ44</f>
        <v>14502.001399999999</v>
      </c>
      <c r="R44" s="9">
        <v>14852.8</v>
      </c>
      <c r="S44" s="9">
        <v>15297.9</v>
      </c>
      <c r="T44" s="9"/>
      <c r="U44" s="9">
        <f>Actual!BD44</f>
        <v>25350.990600000001</v>
      </c>
      <c r="V44" s="9">
        <f>Actual!BE44</f>
        <v>26269.940699999999</v>
      </c>
      <c r="W44" s="9">
        <f>Actual!BF44</f>
        <v>26897.3897</v>
      </c>
      <c r="X44" s="9">
        <v>26976</v>
      </c>
      <c r="Y44" s="9">
        <v>27120.1</v>
      </c>
      <c r="Z44" s="56">
        <v>45976</v>
      </c>
      <c r="AA44" s="2" t="s">
        <v>158</v>
      </c>
      <c r="AC44" s="57" t="s">
        <v>104</v>
      </c>
      <c r="AD44" s="58" t="s">
        <v>24</v>
      </c>
      <c r="AE44" s="58" t="s">
        <v>24</v>
      </c>
      <c r="AF44" s="58" t="s">
        <v>24</v>
      </c>
      <c r="AG44" s="58" t="s">
        <v>24</v>
      </c>
      <c r="AH44" s="58"/>
      <c r="AI44" s="58" t="s">
        <v>24</v>
      </c>
      <c r="AJ44" s="58" t="s">
        <v>24</v>
      </c>
      <c r="AK44" s="58" t="s">
        <v>24</v>
      </c>
      <c r="AL44" s="58" t="s">
        <v>24</v>
      </c>
      <c r="AN44" s="59">
        <f t="shared" si="22"/>
        <v>0.90855058719470849</v>
      </c>
      <c r="AO44" s="59">
        <f t="shared" si="22"/>
        <v>5.07064340924601</v>
      </c>
      <c r="AP44" s="59">
        <f t="shared" si="22"/>
        <v>2.4189668055058946</v>
      </c>
      <c r="AQ44" s="59">
        <f t="shared" si="22"/>
        <v>2.9967413551653586</v>
      </c>
      <c r="AS44" s="59">
        <f t="shared" si="21"/>
        <v>3.6249080538888223</v>
      </c>
      <c r="AT44" s="59">
        <f t="shared" si="21"/>
        <v>2.3884675156499329</v>
      </c>
      <c r="AU44" s="59">
        <f t="shared" si="21"/>
        <v>0.29225995859367826</v>
      </c>
      <c r="AV44" s="59">
        <f t="shared" si="21"/>
        <v>0.53417852906286534</v>
      </c>
      <c r="AW44" s="59"/>
      <c r="AX44" s="60"/>
      <c r="AY44" s="8"/>
      <c r="AZ44" s="22" t="s">
        <v>146</v>
      </c>
      <c r="BA44" s="24">
        <v>0.70979367704238838</v>
      </c>
      <c r="BC44" s="22" t="s">
        <v>146</v>
      </c>
      <c r="BD44" s="24">
        <v>2.210590475741101</v>
      </c>
      <c r="BE44" s="59"/>
      <c r="BF44" s="22" t="s">
        <v>146</v>
      </c>
      <c r="BG44" s="24">
        <v>3.7566952821189972</v>
      </c>
      <c r="BI44" s="22" t="s">
        <v>146</v>
      </c>
      <c r="BJ44" s="24">
        <v>2.616091954022993</v>
      </c>
      <c r="BK44" s="24"/>
      <c r="BL44" s="22" t="s">
        <v>146</v>
      </c>
      <c r="BM44" s="24">
        <v>3.2100825568213609</v>
      </c>
      <c r="BO44" s="22" t="s">
        <v>146</v>
      </c>
      <c r="BP44" s="24">
        <v>2.8903696787063371</v>
      </c>
    </row>
    <row r="45" spans="1:68" ht="13.75" customHeight="1" x14ac:dyDescent="0.25">
      <c r="A45" s="12" t="s">
        <v>106</v>
      </c>
      <c r="B45" s="8" t="s">
        <v>107</v>
      </c>
      <c r="C45" s="9" t="str">
        <f>Actual!M45</f>
        <v>N/A</v>
      </c>
      <c r="D45" s="9" t="str">
        <f>Actual!N45</f>
        <v>N/A</v>
      </c>
      <c r="E45" s="9" t="str">
        <f>Actual!O45</f>
        <v>N/A</v>
      </c>
      <c r="F45" s="9" t="s">
        <v>24</v>
      </c>
      <c r="G45" s="9" t="s">
        <v>24</v>
      </c>
      <c r="H45" s="9"/>
      <c r="I45" s="9" t="str">
        <f>Actual!AA45</f>
        <v>N/A</v>
      </c>
      <c r="J45" s="9" t="str">
        <f>Actual!AB45</f>
        <v>N/A</v>
      </c>
      <c r="K45" s="9" t="str">
        <f>Actual!AC45</f>
        <v>N/A</v>
      </c>
      <c r="L45" s="9" t="s">
        <v>24</v>
      </c>
      <c r="M45" s="9" t="s">
        <v>24</v>
      </c>
      <c r="N45" s="9"/>
      <c r="O45" s="9">
        <f>Actual!AO45</f>
        <v>46581.072</v>
      </c>
      <c r="P45" s="9">
        <f>Actual!AP45</f>
        <v>47159.947</v>
      </c>
      <c r="Q45" s="9">
        <f>Actual!AQ45</f>
        <v>49058.906716819998</v>
      </c>
      <c r="R45" s="9">
        <v>51090.781999999999</v>
      </c>
      <c r="S45" s="9">
        <v>53489.750999999997</v>
      </c>
      <c r="T45" s="9"/>
      <c r="U45" s="9">
        <f>Actual!BD45</f>
        <v>119081.929</v>
      </c>
      <c r="V45" s="9">
        <f>Actual!BE45</f>
        <v>122251.155</v>
      </c>
      <c r="W45" s="9">
        <f>Actual!BF45</f>
        <v>123947.09071239999</v>
      </c>
      <c r="X45" s="9">
        <f>(176613536-56453621)/1000</f>
        <v>120159.91499999999</v>
      </c>
      <c r="Y45" s="9">
        <f>(178309257-55030007)/1000</f>
        <v>123279.25</v>
      </c>
      <c r="Z45" s="56">
        <v>45931</v>
      </c>
      <c r="AA45" s="2" t="s">
        <v>158</v>
      </c>
      <c r="AC45" s="57" t="s">
        <v>106</v>
      </c>
      <c r="AD45" s="58" t="s">
        <v>24</v>
      </c>
      <c r="AE45" s="58" t="s">
        <v>24</v>
      </c>
      <c r="AF45" s="58" t="s">
        <v>24</v>
      </c>
      <c r="AG45" s="58" t="s">
        <v>24</v>
      </c>
      <c r="AH45" s="58"/>
      <c r="AI45" s="58" t="s">
        <v>24</v>
      </c>
      <c r="AJ45" s="58" t="s">
        <v>24</v>
      </c>
      <c r="AK45" s="58" t="s">
        <v>24</v>
      </c>
      <c r="AL45" s="58" t="s">
        <v>24</v>
      </c>
      <c r="AN45" s="59">
        <f t="shared" si="22"/>
        <v>1.2427258007286737</v>
      </c>
      <c r="AO45" s="59">
        <f t="shared" si="22"/>
        <v>4.0266366644135498</v>
      </c>
      <c r="AP45" s="59">
        <f t="shared" si="22"/>
        <v>4.1417051849697382</v>
      </c>
      <c r="AQ45" s="59">
        <f t="shared" si="22"/>
        <v>4.695502605538505</v>
      </c>
      <c r="AS45" s="59">
        <f t="shared" si="21"/>
        <v>2.6613828198903255</v>
      </c>
      <c r="AT45" s="59">
        <f t="shared" si="21"/>
        <v>1.3872553698163379</v>
      </c>
      <c r="AU45" s="59">
        <f t="shared" si="21"/>
        <v>-3.0554776966791044</v>
      </c>
      <c r="AV45" s="59">
        <f t="shared" si="21"/>
        <v>2.5959863570143229</v>
      </c>
      <c r="AW45" s="59"/>
      <c r="AX45" s="60"/>
      <c r="AY45" s="8"/>
      <c r="AZ45" s="8"/>
      <c r="BA45" s="59"/>
      <c r="BC45" s="8"/>
      <c r="BD45" s="59"/>
      <c r="BE45" s="59"/>
      <c r="BF45" s="8"/>
      <c r="BG45" s="59"/>
      <c r="BI45" s="8"/>
      <c r="BJ45" s="70"/>
      <c r="BK45" s="61"/>
      <c r="BL45" s="8"/>
      <c r="BM45" s="59"/>
      <c r="BO45" s="8"/>
      <c r="BP45" s="70"/>
    </row>
    <row r="46" spans="1:68" ht="13.75" customHeight="1" x14ac:dyDescent="0.25">
      <c r="A46" s="12" t="s">
        <v>108</v>
      </c>
      <c r="B46" s="8" t="s">
        <v>109</v>
      </c>
      <c r="C46" s="9">
        <f>Actual!M46</f>
        <v>6432.1419999999998</v>
      </c>
      <c r="D46" s="9">
        <f>Actual!N46</f>
        <v>6214.5290000000005</v>
      </c>
      <c r="E46" s="9">
        <f>Actual!O46</f>
        <v>6607.3559999999998</v>
      </c>
      <c r="F46" s="9">
        <v>6705.7280000000001</v>
      </c>
      <c r="G46" s="9">
        <v>7025.97</v>
      </c>
      <c r="H46" s="9"/>
      <c r="I46" s="9">
        <f>Actual!AA46</f>
        <v>869.90300000000002</v>
      </c>
      <c r="J46" s="9">
        <f>Actual!AB46</f>
        <v>883.39</v>
      </c>
      <c r="K46" s="9">
        <f>Actual!AC46</f>
        <v>948.52</v>
      </c>
      <c r="L46" s="9">
        <v>640.20500000000004</v>
      </c>
      <c r="M46" s="9">
        <v>717.51800000000003</v>
      </c>
      <c r="N46" s="9"/>
      <c r="O46" s="9">
        <f>Actual!AO46</f>
        <v>3262.8119999999999</v>
      </c>
      <c r="P46" s="9">
        <f>Actual!AP46</f>
        <v>3315.5549999999998</v>
      </c>
      <c r="Q46" s="9">
        <f>Actual!AQ46</f>
        <v>3412.47</v>
      </c>
      <c r="R46" s="9">
        <v>3205.8820000000001</v>
      </c>
      <c r="S46" s="9">
        <v>3306.0059999999999</v>
      </c>
      <c r="T46" s="9"/>
      <c r="U46" s="9">
        <f>Actual!BD46</f>
        <v>12260.540999999999</v>
      </c>
      <c r="V46" s="9">
        <f>Actual!BE46</f>
        <v>12291.518</v>
      </c>
      <c r="W46" s="9">
        <f>Actual!BF46</f>
        <v>12844.638000000001</v>
      </c>
      <c r="X46" s="9">
        <v>12365.181</v>
      </c>
      <c r="Y46" s="9">
        <v>12808.606</v>
      </c>
      <c r="Z46" s="56">
        <v>45962</v>
      </c>
      <c r="AA46" s="2" t="s">
        <v>160</v>
      </c>
      <c r="AC46" s="57" t="s">
        <v>108</v>
      </c>
      <c r="AD46" s="58">
        <f t="shared" ref="AD46:AG48" si="23">(D46-C46)/C46*100</f>
        <v>-3.3832119999838213</v>
      </c>
      <c r="AE46" s="58">
        <f t="shared" si="23"/>
        <v>6.3211065552996741</v>
      </c>
      <c r="AF46" s="58">
        <f t="shared" si="23"/>
        <v>1.4888254848081488</v>
      </c>
      <c r="AG46" s="58">
        <f t="shared" si="23"/>
        <v>4.7756485201905026</v>
      </c>
      <c r="AH46" s="58"/>
      <c r="AI46" s="59">
        <f t="shared" ref="AI46:AL48" si="24">(J46-I46)/I46*100</f>
        <v>1.5504027460532916</v>
      </c>
      <c r="AJ46" s="59">
        <f t="shared" si="24"/>
        <v>7.372734579291139</v>
      </c>
      <c r="AK46" s="59">
        <f t="shared" si="24"/>
        <v>-32.50484966052376</v>
      </c>
      <c r="AL46" s="59">
        <f t="shared" si="24"/>
        <v>12.076288063979504</v>
      </c>
      <c r="AN46" s="59">
        <f t="shared" si="22"/>
        <v>1.6164890897789985</v>
      </c>
      <c r="AO46" s="59">
        <f t="shared" si="22"/>
        <v>2.9230400340214522</v>
      </c>
      <c r="AP46" s="59">
        <f t="shared" si="22"/>
        <v>-6.0539140270830147</v>
      </c>
      <c r="AQ46" s="59">
        <f t="shared" si="22"/>
        <v>3.1231342887854199</v>
      </c>
      <c r="AS46" s="59">
        <f t="shared" si="21"/>
        <v>0.25265606142502822</v>
      </c>
      <c r="AT46" s="59">
        <f t="shared" si="21"/>
        <v>4.5000137493188461</v>
      </c>
      <c r="AU46" s="59">
        <f t="shared" si="21"/>
        <v>-3.7327404633746806</v>
      </c>
      <c r="AV46" s="59">
        <f t="shared" si="21"/>
        <v>3.586077712893966</v>
      </c>
      <c r="AW46" s="59"/>
      <c r="AX46" s="60"/>
      <c r="AY46" s="8"/>
      <c r="AZ46" s="8"/>
      <c r="BA46" s="59"/>
      <c r="BC46" s="8"/>
      <c r="BD46" s="59"/>
      <c r="BE46" s="59"/>
      <c r="BF46" s="8"/>
      <c r="BG46" s="59"/>
      <c r="BI46" s="8"/>
      <c r="BJ46" s="59"/>
      <c r="BK46" s="61"/>
      <c r="BL46" s="8"/>
      <c r="BM46" s="59"/>
      <c r="BO46" s="8"/>
      <c r="BP46" s="59"/>
    </row>
    <row r="47" spans="1:68" ht="13.75" customHeight="1" x14ac:dyDescent="0.25">
      <c r="A47" s="71" t="s">
        <v>110</v>
      </c>
      <c r="B47" s="8" t="s">
        <v>111</v>
      </c>
      <c r="C47" s="9">
        <f>Actual!M47</f>
        <v>1209.9711809999999</v>
      </c>
      <c r="D47" s="9">
        <f>Actual!N47</f>
        <v>1243.0692340000001</v>
      </c>
      <c r="E47" s="9">
        <f>Actual!O47</f>
        <v>1362.9</v>
      </c>
      <c r="F47" s="9">
        <v>1414.1</v>
      </c>
      <c r="G47" s="9">
        <v>1445.3</v>
      </c>
      <c r="H47" s="9"/>
      <c r="I47" s="9">
        <f>Actual!AA47</f>
        <v>281.36931800000002</v>
      </c>
      <c r="J47" s="9">
        <f>Actual!AB47</f>
        <v>238.81252699999999</v>
      </c>
      <c r="K47" s="9">
        <f>Actual!AC47</f>
        <v>272.60000000000002</v>
      </c>
      <c r="L47" s="9">
        <v>223.8</v>
      </c>
      <c r="M47" s="9">
        <v>248.6</v>
      </c>
      <c r="N47" s="9"/>
      <c r="O47" s="9">
        <f>Actual!AO47</f>
        <v>584.04753500000004</v>
      </c>
      <c r="P47" s="9">
        <f>Actual!AP47</f>
        <v>595.17828599999996</v>
      </c>
      <c r="Q47" s="9">
        <f>Actual!AQ47</f>
        <v>618.1</v>
      </c>
      <c r="R47" s="9">
        <v>634.5</v>
      </c>
      <c r="S47" s="9">
        <v>651.1</v>
      </c>
      <c r="T47" s="9"/>
      <c r="U47" s="9">
        <f>Actual!BD47</f>
        <v>2754</v>
      </c>
      <c r="V47" s="9">
        <f>Actual!BE47</f>
        <v>2811.7999999999997</v>
      </c>
      <c r="W47" s="9">
        <f>Actual!BF47</f>
        <v>3026.0000000000005</v>
      </c>
      <c r="X47" s="9">
        <f>2817.1+135.3+63.9</f>
        <v>3016.3</v>
      </c>
      <c r="Y47" s="9">
        <f>2902.9+124.2+61.9</f>
        <v>3089</v>
      </c>
      <c r="Z47" s="56">
        <v>46038</v>
      </c>
      <c r="AA47" s="2" t="s">
        <v>161</v>
      </c>
      <c r="AC47" s="57" t="s">
        <v>110</v>
      </c>
      <c r="AD47" s="58">
        <f t="shared" si="23"/>
        <v>2.7354414319724336</v>
      </c>
      <c r="AE47" s="58">
        <f t="shared" si="23"/>
        <v>9.6399108531069988</v>
      </c>
      <c r="AF47" s="58">
        <f t="shared" si="23"/>
        <v>3.7566952821189972</v>
      </c>
      <c r="AG47" s="58">
        <f t="shared" si="23"/>
        <v>2.206350328831062</v>
      </c>
      <c r="AH47" s="58"/>
      <c r="AI47" s="59">
        <f t="shared" si="24"/>
        <v>-15.124886857777446</v>
      </c>
      <c r="AJ47" s="59">
        <f t="shared" si="24"/>
        <v>14.148115856585713</v>
      </c>
      <c r="AK47" s="59">
        <f t="shared" si="24"/>
        <v>-17.901687454145272</v>
      </c>
      <c r="AL47" s="59">
        <f t="shared" si="24"/>
        <v>11.081322609472736</v>
      </c>
      <c r="AN47" s="59">
        <f t="shared" si="22"/>
        <v>1.9057953904385398</v>
      </c>
      <c r="AO47" s="59">
        <f t="shared" si="22"/>
        <v>3.8512349222364044</v>
      </c>
      <c r="AP47" s="59">
        <f t="shared" si="22"/>
        <v>2.6532923475165791</v>
      </c>
      <c r="AQ47" s="59">
        <f t="shared" si="22"/>
        <v>2.6162332545311302</v>
      </c>
      <c r="AS47" s="59">
        <f t="shared" si="21"/>
        <v>2.0987654320987552</v>
      </c>
      <c r="AT47" s="59">
        <f t="shared" si="21"/>
        <v>7.6178960096735455</v>
      </c>
      <c r="AU47" s="59">
        <f t="shared" si="21"/>
        <v>-0.32055518836749081</v>
      </c>
      <c r="AV47" s="59">
        <f t="shared" si="21"/>
        <v>2.4102377084507447</v>
      </c>
      <c r="AW47" s="59"/>
      <c r="AX47" s="60"/>
      <c r="AY47" s="8"/>
      <c r="AZ47" s="8"/>
      <c r="BA47" s="59"/>
      <c r="BC47" s="8"/>
      <c r="BD47" s="59"/>
      <c r="BE47" s="59"/>
      <c r="BF47" s="8"/>
      <c r="BG47" s="59"/>
      <c r="BI47" s="8"/>
      <c r="BJ47" s="59"/>
      <c r="BK47" s="61"/>
      <c r="BL47" s="8"/>
      <c r="BM47" s="59"/>
      <c r="BO47" s="8"/>
      <c r="BP47" s="59"/>
    </row>
    <row r="48" spans="1:68" ht="13.75" customHeight="1" x14ac:dyDescent="0.25">
      <c r="A48" s="71" t="s">
        <v>112</v>
      </c>
      <c r="B48" s="8" t="s">
        <v>113</v>
      </c>
      <c r="C48" s="9">
        <f>Actual!M48</f>
        <v>18983.556</v>
      </c>
      <c r="D48" s="9">
        <f>Actual!N48</f>
        <v>20310.405999999999</v>
      </c>
      <c r="E48" s="9">
        <f>Actual!O48</f>
        <v>21892.441999999999</v>
      </c>
      <c r="F48" s="9">
        <v>22869.9</v>
      </c>
      <c r="G48" s="9">
        <v>23688.9</v>
      </c>
      <c r="H48" s="9"/>
      <c r="I48" s="9">
        <f>Actual!AA48</f>
        <v>2031.1</v>
      </c>
      <c r="J48" s="9">
        <f>Actual!AB48</f>
        <v>1907.0650000000001</v>
      </c>
      <c r="K48" s="9">
        <f>Actual!AC48</f>
        <v>1878.586</v>
      </c>
      <c r="L48" s="9">
        <v>1811.7</v>
      </c>
      <c r="M48" s="9">
        <v>1825.2</v>
      </c>
      <c r="N48" s="9"/>
      <c r="O48" s="9">
        <f>Actual!AO48</f>
        <v>6151.2489999999998</v>
      </c>
      <c r="P48" s="9">
        <f>Actual!AP48</f>
        <v>6086.7749999999996</v>
      </c>
      <c r="Q48" s="9">
        <f>Actual!AQ48</f>
        <v>6225.1670000000004</v>
      </c>
      <c r="R48" s="9">
        <f>4967.6+1457.4</f>
        <v>6425</v>
      </c>
      <c r="S48" s="9">
        <f>5079+1490.1</f>
        <v>6569.1</v>
      </c>
      <c r="T48" s="9"/>
      <c r="U48" s="9">
        <f>Actual!BD48</f>
        <v>32727.600000000002</v>
      </c>
      <c r="V48" s="9">
        <f>Actual!BE48</f>
        <v>34320.640999999996</v>
      </c>
      <c r="W48" s="9">
        <f>Actual!BF48</f>
        <v>36344.440999999999</v>
      </c>
      <c r="X48" s="9">
        <f>32182.8+5304.9</f>
        <v>37487.699999999997</v>
      </c>
      <c r="Y48" s="9">
        <f>33155.9+5476.3</f>
        <v>38632.200000000004</v>
      </c>
      <c r="Z48" s="56">
        <v>46008</v>
      </c>
      <c r="AA48" s="2" t="s">
        <v>162</v>
      </c>
      <c r="AC48" s="57" t="s">
        <v>112</v>
      </c>
      <c r="AD48" s="58">
        <f t="shared" si="23"/>
        <v>6.9894702552040222</v>
      </c>
      <c r="AE48" s="58">
        <f t="shared" si="23"/>
        <v>7.7892879147762981</v>
      </c>
      <c r="AF48" s="58">
        <f t="shared" si="23"/>
        <v>4.4648194111922388</v>
      </c>
      <c r="AG48" s="58">
        <f t="shared" si="23"/>
        <v>3.581126283892802</v>
      </c>
      <c r="AH48" s="58"/>
      <c r="AI48" s="59">
        <f t="shared" si="24"/>
        <v>-6.1067894244497989</v>
      </c>
      <c r="AJ48" s="59">
        <f t="shared" si="24"/>
        <v>-1.4933418630198783</v>
      </c>
      <c r="AK48" s="59">
        <f t="shared" si="24"/>
        <v>-3.5604438657586055</v>
      </c>
      <c r="AL48" s="59">
        <f t="shared" si="24"/>
        <v>0.7451564828614009</v>
      </c>
      <c r="AN48" s="59">
        <f t="shared" si="22"/>
        <v>-1.0481448564348503</v>
      </c>
      <c r="AO48" s="59">
        <f t="shared" si="22"/>
        <v>2.2736506606536424</v>
      </c>
      <c r="AP48" s="59">
        <f t="shared" si="22"/>
        <v>3.2100825568213609</v>
      </c>
      <c r="AQ48" s="59">
        <f t="shared" si="22"/>
        <v>2.2428015564202393</v>
      </c>
      <c r="AS48" s="59">
        <f t="shared" si="21"/>
        <v>4.8675766020117379</v>
      </c>
      <c r="AT48" s="59">
        <f t="shared" si="21"/>
        <v>5.8967430124629763</v>
      </c>
      <c r="AU48" s="59">
        <f t="shared" si="21"/>
        <v>3.1456227377386221</v>
      </c>
      <c r="AV48" s="59">
        <f t="shared" si="21"/>
        <v>3.0530013844541206</v>
      </c>
      <c r="AW48" s="59"/>
      <c r="AX48" s="60"/>
      <c r="AY48" s="8"/>
      <c r="AZ48" s="8"/>
      <c r="BA48" s="59"/>
      <c r="BC48" s="8"/>
      <c r="BD48" s="59"/>
      <c r="BE48" s="59"/>
      <c r="BF48" s="8"/>
      <c r="BG48" s="59"/>
      <c r="BI48" s="8"/>
      <c r="BJ48" s="59"/>
      <c r="BK48" s="61"/>
      <c r="BL48" s="8"/>
      <c r="BM48" s="59"/>
      <c r="BO48" s="8"/>
      <c r="BP48" s="59"/>
    </row>
    <row r="49" spans="1:68" ht="13.75" customHeight="1" x14ac:dyDescent="0.25">
      <c r="A49" s="12" t="s">
        <v>114</v>
      </c>
      <c r="B49" s="8" t="s">
        <v>115</v>
      </c>
      <c r="C49" s="9" t="str">
        <f>Actual!M49</f>
        <v>N/A</v>
      </c>
      <c r="D49" s="9" t="str">
        <f>Actual!N49</f>
        <v>N/A</v>
      </c>
      <c r="E49" s="9" t="str">
        <f>Actual!O49</f>
        <v>N/A</v>
      </c>
      <c r="F49" s="9" t="s">
        <v>24</v>
      </c>
      <c r="G49" s="9" t="s">
        <v>24</v>
      </c>
      <c r="H49" s="9"/>
      <c r="I49" s="9" t="str">
        <f>Actual!AA49</f>
        <v>N/A</v>
      </c>
      <c r="J49" s="9" t="str">
        <f>Actual!AB49</f>
        <v>N/A</v>
      </c>
      <c r="K49" s="9" t="str">
        <f>Actual!AC49</f>
        <v>N/A</v>
      </c>
      <c r="L49" s="9" t="s">
        <v>24</v>
      </c>
      <c r="M49" s="9" t="s">
        <v>24</v>
      </c>
      <c r="N49" s="9"/>
      <c r="O49" s="9">
        <f>Actual!AO49</f>
        <v>15805.7</v>
      </c>
      <c r="P49" s="9">
        <f>Actual!AP49</f>
        <v>15754.3</v>
      </c>
      <c r="Q49" s="9">
        <f>Actual!AQ49</f>
        <v>16114.1</v>
      </c>
      <c r="R49" s="9">
        <f>16226.2+1006</f>
        <v>17232.2</v>
      </c>
      <c r="S49" s="9">
        <f>16789.2+1019.5</f>
        <v>17808.7</v>
      </c>
      <c r="T49" s="9"/>
      <c r="U49" s="9">
        <f>Actual!BD49</f>
        <v>30971.9</v>
      </c>
      <c r="V49" s="9">
        <f>Actual!BE49</f>
        <v>31093.5</v>
      </c>
      <c r="W49" s="9">
        <f>Actual!BF49</f>
        <v>32298.799999999999</v>
      </c>
      <c r="X49" s="9">
        <v>34083.599999999999</v>
      </c>
      <c r="Y49" s="9">
        <v>35674.1</v>
      </c>
      <c r="Z49" s="56">
        <v>45962</v>
      </c>
      <c r="AA49" s="2" t="s">
        <v>152</v>
      </c>
      <c r="AC49" s="57" t="s">
        <v>114</v>
      </c>
      <c r="AD49" s="58" t="s">
        <v>24</v>
      </c>
      <c r="AE49" s="58" t="s">
        <v>24</v>
      </c>
      <c r="AF49" s="58" t="s">
        <v>24</v>
      </c>
      <c r="AG49" s="58" t="s">
        <v>24</v>
      </c>
      <c r="AH49" s="58"/>
      <c r="AI49" s="58" t="s">
        <v>24</v>
      </c>
      <c r="AJ49" s="58" t="s">
        <v>24</v>
      </c>
      <c r="AK49" s="58" t="s">
        <v>24</v>
      </c>
      <c r="AL49" s="58" t="s">
        <v>24</v>
      </c>
      <c r="AN49" s="59">
        <f t="shared" si="22"/>
        <v>-0.32519913702019809</v>
      </c>
      <c r="AO49" s="59">
        <f t="shared" si="22"/>
        <v>2.2838209250807786</v>
      </c>
      <c r="AP49" s="59">
        <f t="shared" si="22"/>
        <v>6.9386437964267342</v>
      </c>
      <c r="AQ49" s="59">
        <f t="shared" si="22"/>
        <v>3.3454811341558242</v>
      </c>
      <c r="AS49" s="59">
        <f t="shared" si="21"/>
        <v>0.39261395006440847</v>
      </c>
      <c r="AT49" s="59">
        <f t="shared" si="21"/>
        <v>3.8763728753597992</v>
      </c>
      <c r="AU49" s="59">
        <f t="shared" si="21"/>
        <v>5.5259018910919266</v>
      </c>
      <c r="AV49" s="59">
        <f t="shared" si="21"/>
        <v>4.6664671572251759</v>
      </c>
      <c r="AW49" s="59"/>
      <c r="AX49" s="60"/>
      <c r="AY49" s="8"/>
      <c r="AZ49" s="8"/>
      <c r="BA49" s="59"/>
      <c r="BC49" s="8"/>
      <c r="BD49" s="59"/>
      <c r="BE49" s="59"/>
      <c r="BF49" s="8"/>
      <c r="BG49" s="59"/>
      <c r="BI49" s="8"/>
      <c r="BJ49" s="59"/>
      <c r="BK49" s="61"/>
      <c r="BL49" s="8"/>
      <c r="BM49" s="59"/>
      <c r="BO49" s="8"/>
      <c r="BP49" s="59"/>
    </row>
    <row r="50" spans="1:68" ht="13.75" customHeight="1" x14ac:dyDescent="0.25">
      <c r="A50" s="12" t="s">
        <v>116</v>
      </c>
      <c r="B50" s="8" t="s">
        <v>117</v>
      </c>
      <c r="C50" s="9">
        <f>Actual!M50</f>
        <v>2663.5680000000002</v>
      </c>
      <c r="D50" s="9">
        <f>Actual!N50</f>
        <v>2239.8589999999999</v>
      </c>
      <c r="E50" s="9">
        <f>Actual!O50</f>
        <v>2126.3960000000002</v>
      </c>
      <c r="F50" s="9">
        <v>2019.556</v>
      </c>
      <c r="G50" s="9">
        <v>2172.2669999999998</v>
      </c>
      <c r="H50" s="9"/>
      <c r="I50" s="9">
        <f>Actual!AA50</f>
        <v>419.96499999999997</v>
      </c>
      <c r="J50" s="9">
        <f>Actual!AB50</f>
        <v>465.46300000000002</v>
      </c>
      <c r="K50" s="9">
        <f>Actual!AC50</f>
        <v>376.21899999999999</v>
      </c>
      <c r="L50" s="9">
        <v>313.5</v>
      </c>
      <c r="M50" s="9">
        <v>274.3</v>
      </c>
      <c r="N50" s="9"/>
      <c r="O50" s="9">
        <f>Actual!AO50</f>
        <v>1750.434</v>
      </c>
      <c r="P50" s="9">
        <f>Actual!AP50</f>
        <v>1816.5440000000001</v>
      </c>
      <c r="Q50" s="9">
        <f>Actual!AQ50</f>
        <v>1821.2470000000001</v>
      </c>
      <c r="R50" s="9">
        <v>1910.7</v>
      </c>
      <c r="S50" s="9">
        <v>1991.25</v>
      </c>
      <c r="U50" s="9">
        <f>Actual!BD50</f>
        <v>6483.2910000000002</v>
      </c>
      <c r="V50" s="9">
        <f>Actual!BE50</f>
        <v>5710.5749999999998</v>
      </c>
      <c r="W50" s="9">
        <f>Actual!BF50</f>
        <v>5519.3630000000003</v>
      </c>
      <c r="X50" s="9">
        <v>5323.1570000000002</v>
      </c>
      <c r="Y50" s="9">
        <v>5493.3670000000002</v>
      </c>
      <c r="Z50" s="56">
        <v>46036</v>
      </c>
      <c r="AA50" s="2" t="s">
        <v>152</v>
      </c>
      <c r="AC50" s="57" t="s">
        <v>116</v>
      </c>
      <c r="AD50" s="58" t="s">
        <v>24</v>
      </c>
      <c r="AE50" s="58" t="s">
        <v>24</v>
      </c>
      <c r="AF50" s="58" t="s">
        <v>24</v>
      </c>
      <c r="AG50" s="58" t="s">
        <v>24</v>
      </c>
      <c r="AH50" s="58"/>
      <c r="AI50" s="58" t="s">
        <v>24</v>
      </c>
      <c r="AJ50" s="58" t="s">
        <v>24</v>
      </c>
      <c r="AK50" s="58" t="s">
        <v>24</v>
      </c>
      <c r="AL50" s="58" t="s">
        <v>24</v>
      </c>
      <c r="AN50" s="59">
        <f t="shared" si="22"/>
        <v>3.7767776448583681</v>
      </c>
      <c r="AO50" s="59">
        <f t="shared" si="22"/>
        <v>0.25889821551253228</v>
      </c>
      <c r="AP50" s="59">
        <f t="shared" si="22"/>
        <v>4.9116347206062647</v>
      </c>
      <c r="AQ50" s="59">
        <f t="shared" si="22"/>
        <v>4.2157324540744199</v>
      </c>
      <c r="AS50" s="59">
        <f t="shared" si="21"/>
        <v>-11.91857653774912</v>
      </c>
      <c r="AT50" s="59">
        <f t="shared" si="21"/>
        <v>-3.3483843570918785</v>
      </c>
      <c r="AU50" s="59">
        <f t="shared" si="21"/>
        <v>-3.554866748209895</v>
      </c>
      <c r="AV50" s="59">
        <f t="shared" si="21"/>
        <v>3.1975386035016444</v>
      </c>
      <c r="AW50" s="59"/>
      <c r="AX50" s="60"/>
      <c r="AY50" s="8"/>
      <c r="AZ50" s="8"/>
      <c r="BA50" s="59"/>
      <c r="BC50" s="8"/>
      <c r="BD50" s="59"/>
      <c r="BE50" s="59"/>
      <c r="BF50" s="8"/>
      <c r="BG50" s="59"/>
      <c r="BI50" s="8"/>
      <c r="BJ50" s="59"/>
      <c r="BK50" s="61"/>
      <c r="BL50" s="8"/>
      <c r="BM50" s="59"/>
      <c r="BO50" s="8"/>
      <c r="BP50" s="59"/>
    </row>
    <row r="51" spans="1:68" ht="13.75" customHeight="1" x14ac:dyDescent="0.25">
      <c r="A51" s="12" t="s">
        <v>118</v>
      </c>
      <c r="B51" s="8" t="s">
        <v>119</v>
      </c>
      <c r="C51" s="9">
        <f>Actual!M51</f>
        <v>9414.7000000000007</v>
      </c>
      <c r="D51" s="9">
        <f>Actual!N51</f>
        <v>9717.591979169998</v>
      </c>
      <c r="E51" s="9">
        <f>Actual!O51</f>
        <v>10451.1</v>
      </c>
      <c r="F51" s="9">
        <v>9874.2999999999993</v>
      </c>
      <c r="G51" s="9">
        <v>10353.1</v>
      </c>
      <c r="H51" s="9"/>
      <c r="I51" s="9">
        <f>Actual!AA51</f>
        <v>2748.5</v>
      </c>
      <c r="J51" s="9">
        <f>Actual!AB51</f>
        <v>2702.1</v>
      </c>
      <c r="K51" s="9">
        <f>Actual!AC51</f>
        <v>2761.7</v>
      </c>
      <c r="L51" s="9">
        <v>2650.6</v>
      </c>
      <c r="M51" s="9">
        <v>2691.1</v>
      </c>
      <c r="N51" s="9"/>
      <c r="O51" s="9">
        <f>Actual!AO51</f>
        <v>7456.1</v>
      </c>
      <c r="P51" s="9">
        <f>Actual!AP51</f>
        <v>7587.5</v>
      </c>
      <c r="Q51" s="9">
        <f>Actual!AQ51</f>
        <v>7831.6</v>
      </c>
      <c r="R51" s="9">
        <v>8083.3</v>
      </c>
      <c r="S51" s="9">
        <v>8249.2999999999993</v>
      </c>
      <c r="T51" s="9"/>
      <c r="U51" s="9">
        <f>Actual!BD51</f>
        <v>20974</v>
      </c>
      <c r="V51" s="9">
        <f>Actual!BE51</f>
        <v>21329.599999999999</v>
      </c>
      <c r="W51" s="9">
        <f>Actual!BF51</f>
        <v>22362.9</v>
      </c>
      <c r="X51" s="9">
        <v>21944.400000000001</v>
      </c>
      <c r="Y51" s="9">
        <v>22616.7</v>
      </c>
      <c r="Z51" s="56">
        <v>46037</v>
      </c>
      <c r="AA51" s="2" t="s">
        <v>152</v>
      </c>
      <c r="AC51" s="57" t="s">
        <v>118</v>
      </c>
      <c r="AD51" s="58" t="s">
        <v>24</v>
      </c>
      <c r="AE51" s="58" t="s">
        <v>24</v>
      </c>
      <c r="AF51" s="58" t="s">
        <v>24</v>
      </c>
      <c r="AG51" s="58" t="s">
        <v>24</v>
      </c>
      <c r="AH51" s="58"/>
      <c r="AI51" s="58" t="s">
        <v>24</v>
      </c>
      <c r="AJ51" s="58" t="s">
        <v>24</v>
      </c>
      <c r="AK51" s="58" t="s">
        <v>24</v>
      </c>
      <c r="AL51" s="58" t="s">
        <v>24</v>
      </c>
      <c r="AN51" s="59">
        <f t="shared" si="22"/>
        <v>1.7623154195893245</v>
      </c>
      <c r="AO51" s="59">
        <f t="shared" si="22"/>
        <v>3.2171334431631018</v>
      </c>
      <c r="AP51" s="59">
        <f t="shared" si="22"/>
        <v>3.2139026507993234</v>
      </c>
      <c r="AQ51" s="59">
        <f t="shared" si="22"/>
        <v>2.0536167159452092</v>
      </c>
      <c r="AS51" s="59">
        <f t="shared" si="21"/>
        <v>1.6954324401640057</v>
      </c>
      <c r="AT51" s="59">
        <f t="shared" si="21"/>
        <v>4.8444415272672856</v>
      </c>
      <c r="AU51" s="59">
        <f t="shared" si="21"/>
        <v>-1.871403082784433</v>
      </c>
      <c r="AV51" s="59">
        <f t="shared" si="21"/>
        <v>3.0636517744846032</v>
      </c>
      <c r="AW51" s="59"/>
      <c r="AX51" s="60"/>
      <c r="AY51" s="8"/>
      <c r="AZ51" s="8"/>
      <c r="BA51" s="59"/>
      <c r="BC51" s="8"/>
      <c r="BD51" s="59"/>
      <c r="BE51" s="59"/>
      <c r="BF51" s="8"/>
      <c r="BG51" s="59"/>
      <c r="BI51" s="8"/>
      <c r="BJ51" s="59"/>
      <c r="BK51" s="61"/>
      <c r="BL51" s="8"/>
      <c r="BM51" s="59"/>
      <c r="BO51" s="8"/>
      <c r="BP51" s="59"/>
    </row>
    <row r="52" spans="1:68" ht="13.75" customHeight="1" x14ac:dyDescent="0.25">
      <c r="A52" s="12" t="s">
        <v>120</v>
      </c>
      <c r="B52" s="8" t="s">
        <v>121</v>
      </c>
      <c r="C52" s="9" t="str">
        <f>Actual!M52</f>
        <v>N/A</v>
      </c>
      <c r="D52" s="9" t="str">
        <f>Actual!N52</f>
        <v>N/A</v>
      </c>
      <c r="E52" s="9" t="str">
        <f>Actual!O52</f>
        <v>N/A</v>
      </c>
      <c r="F52" s="9" t="s">
        <v>24</v>
      </c>
      <c r="G52" s="9" t="s">
        <v>24</v>
      </c>
      <c r="H52" s="9"/>
      <c r="I52" s="9" t="str">
        <f>Actual!AA52</f>
        <v>N/A</v>
      </c>
      <c r="J52" s="9" t="str">
        <f>Actual!AB52</f>
        <v>N/A</v>
      </c>
      <c r="K52" s="9" t="str">
        <f>Actual!U52</f>
        <v>N/A</v>
      </c>
      <c r="L52" s="9" t="s">
        <v>24</v>
      </c>
      <c r="M52" s="9" t="s">
        <v>24</v>
      </c>
      <c r="N52" s="9"/>
      <c r="O52" s="9">
        <f>Actual!AO52</f>
        <v>635.93381299999999</v>
      </c>
      <c r="P52" s="9">
        <f>Actual!AP52</f>
        <v>646.92330300000003</v>
      </c>
      <c r="Q52" s="9">
        <f>Actual!AQ52</f>
        <v>635.79614000000004</v>
      </c>
      <c r="R52" s="9">
        <v>633.1</v>
      </c>
      <c r="S52" s="9">
        <v>652.70000000000005</v>
      </c>
      <c r="T52" s="9"/>
      <c r="U52" s="9">
        <f>Actual!BD52</f>
        <v>1394.5026069999999</v>
      </c>
      <c r="V52" s="9">
        <f>Actual!BE52</f>
        <v>1664.04412</v>
      </c>
      <c r="W52" s="9">
        <f>Actual!BF52</f>
        <v>2026.711378</v>
      </c>
      <c r="X52" s="9">
        <v>1519.6</v>
      </c>
      <c r="Y52" s="9">
        <v>1854.1</v>
      </c>
      <c r="Z52" s="56">
        <v>45960</v>
      </c>
      <c r="AA52" s="2" t="s">
        <v>152</v>
      </c>
      <c r="AC52" s="57" t="s">
        <v>120</v>
      </c>
      <c r="AD52" s="58" t="s">
        <v>24</v>
      </c>
      <c r="AE52" s="58" t="s">
        <v>24</v>
      </c>
      <c r="AF52" s="58" t="s">
        <v>24</v>
      </c>
      <c r="AG52" s="58" t="s">
        <v>24</v>
      </c>
      <c r="AH52" s="58"/>
      <c r="AI52" s="58" t="s">
        <v>24</v>
      </c>
      <c r="AJ52" s="58" t="s">
        <v>24</v>
      </c>
      <c r="AK52" s="58" t="s">
        <v>24</v>
      </c>
      <c r="AL52" s="58" t="s">
        <v>24</v>
      </c>
      <c r="AN52" s="59">
        <f t="shared" si="22"/>
        <v>1.7280870705958276</v>
      </c>
      <c r="AO52" s="59">
        <f t="shared" si="22"/>
        <v>-1.7200127045044775</v>
      </c>
      <c r="AP52" s="59">
        <f t="shared" si="22"/>
        <v>-0.42405730868388314</v>
      </c>
      <c r="AQ52" s="59">
        <f t="shared" si="22"/>
        <v>3.0958774285263027</v>
      </c>
      <c r="AS52" s="59">
        <f t="shared" si="21"/>
        <v>19.328864044210434</v>
      </c>
      <c r="AT52" s="59">
        <f t="shared" si="21"/>
        <v>21.794329467658581</v>
      </c>
      <c r="AU52" s="59">
        <f t="shared" si="21"/>
        <v>-25.021390983674642</v>
      </c>
      <c r="AV52" s="59">
        <f t="shared" si="21"/>
        <v>22.012371676757041</v>
      </c>
      <c r="AW52" s="59"/>
      <c r="AX52" s="60"/>
      <c r="AY52" s="8"/>
      <c r="AZ52" s="8"/>
      <c r="BA52" s="59"/>
      <c r="BC52" s="8"/>
      <c r="BD52" s="59"/>
      <c r="BE52" s="59"/>
      <c r="BF52" s="8"/>
      <c r="BG52" s="59"/>
      <c r="BI52" s="8"/>
      <c r="BJ52" s="59"/>
      <c r="BK52" s="61"/>
      <c r="BL52" s="8"/>
      <c r="BM52" s="59"/>
      <c r="BO52" s="8"/>
      <c r="BP52" s="59"/>
    </row>
    <row r="53" spans="1:68" s="22" customFormat="1" ht="13.1" customHeight="1" x14ac:dyDescent="0.25">
      <c r="A53" s="74" t="s">
        <v>122</v>
      </c>
      <c r="B53" s="23" t="s">
        <v>123</v>
      </c>
      <c r="C53" s="69">
        <f>SUM(C3:C52)</f>
        <v>488774.5359722299</v>
      </c>
      <c r="D53" s="69">
        <f>SUM(D3:D52)</f>
        <v>476135.39309277997</v>
      </c>
      <c r="E53" s="69">
        <f>SUM(E3:E52)</f>
        <v>519912.10476500005</v>
      </c>
      <c r="F53" s="69">
        <f>SUM(F3:F52)</f>
        <v>471723.245742</v>
      </c>
      <c r="G53" s="69">
        <f>SUM(G3:G52)</f>
        <v>489300.36395899992</v>
      </c>
      <c r="H53" s="69"/>
      <c r="I53" s="69">
        <f>SUM(I3:I52)</f>
        <v>143924.97105231002</v>
      </c>
      <c r="J53" s="69">
        <f>SUM(J3:J52)</f>
        <v>136012.27541985002</v>
      </c>
      <c r="K53" s="69">
        <f>SUM(K3:K52)</f>
        <v>141613.62465700001</v>
      </c>
      <c r="L53" s="69">
        <f>SUM(L3:L52)</f>
        <v>125541.78948400002</v>
      </c>
      <c r="M53" s="69">
        <f>SUM(M3:M52)</f>
        <v>124837.61773600003</v>
      </c>
      <c r="N53" s="69"/>
      <c r="O53" s="69">
        <f>SUM(O3:O52)</f>
        <v>380060.28979900002</v>
      </c>
      <c r="P53" s="69">
        <f t="shared" ref="P53:Y53" si="25">SUM(P3:P52)</f>
        <v>369669.40524841991</v>
      </c>
      <c r="Q53" s="69">
        <f t="shared" si="25"/>
        <v>378516.23356581992</v>
      </c>
      <c r="R53" s="69">
        <f t="shared" si="25"/>
        <v>341648.828225</v>
      </c>
      <c r="S53" s="69">
        <f t="shared" si="25"/>
        <v>351323.02178999991</v>
      </c>
      <c r="T53" s="69"/>
      <c r="U53" s="69">
        <f>SUM(U3:U52)</f>
        <v>1281080.93226264</v>
      </c>
      <c r="V53" s="69">
        <f t="shared" si="25"/>
        <v>1250148.8444638602</v>
      </c>
      <c r="W53" s="69">
        <f t="shared" si="25"/>
        <v>1316125.0389762197</v>
      </c>
      <c r="X53" s="69">
        <f t="shared" si="25"/>
        <v>1186869.150776</v>
      </c>
      <c r="Y53" s="69">
        <f t="shared" si="25"/>
        <v>1209347.2873879999</v>
      </c>
      <c r="Z53" s="75"/>
      <c r="AC53" s="76" t="s">
        <v>122</v>
      </c>
      <c r="AD53" s="77">
        <f>(D54-C54)/C54*100</f>
        <v>1.4284212389701327</v>
      </c>
      <c r="AE53" s="77">
        <f>(E54-D54)/D54*100</f>
        <v>9.7761687909422719</v>
      </c>
      <c r="AF53" s="77">
        <f>(F54-E54)/E54*100</f>
        <v>4.5482671459774142</v>
      </c>
      <c r="AG53" s="77">
        <f>(G54-F54)/F54*100</f>
        <v>3.726150529078101</v>
      </c>
      <c r="AH53" s="77"/>
      <c r="AI53" s="70">
        <f>(J54-I54)/I54*100</f>
        <v>-1.0536683963512274</v>
      </c>
      <c r="AJ53" s="70">
        <f>(K54-J54)/J54*100</f>
        <v>4.6552965742043702</v>
      </c>
      <c r="AK53" s="70">
        <f>(L54-K54)/K54*100</f>
        <v>-3.4395185009384455</v>
      </c>
      <c r="AL53" s="70">
        <f>(M54-L54)/L54*100</f>
        <v>-0.56090625352264734</v>
      </c>
      <c r="AN53" s="70">
        <f>(P54-O54)/O54*100</f>
        <v>1.1380938589967784</v>
      </c>
      <c r="AO53" s="70">
        <f>(Q54-P54)/P54*100</f>
        <v>2.5082353937087438</v>
      </c>
      <c r="AP53" s="70">
        <f>(R54-Q54)/Q54*100</f>
        <v>3.2270546279548582</v>
      </c>
      <c r="AQ53" s="70">
        <f>(S54-R54)/R54*100</f>
        <v>2.8316191263588246</v>
      </c>
      <c r="AS53" s="70">
        <f>(V54-U54)/U54*100</f>
        <v>2.3958343109181781</v>
      </c>
      <c r="AT53" s="70">
        <f>(W54-V54)/V54*100</f>
        <v>5.6061616213262884</v>
      </c>
      <c r="AU53" s="70">
        <f>(X54-W54)/W54*100</f>
        <v>2.0867832568325735</v>
      </c>
      <c r="AV53" s="70">
        <f>(Y54-X54)/X54*100</f>
        <v>1.8939018338544957</v>
      </c>
      <c r="AW53" s="70"/>
      <c r="AX53" s="60"/>
      <c r="AY53" s="8"/>
      <c r="AZ53" s="8"/>
      <c r="BA53" s="59"/>
      <c r="BC53" s="8"/>
      <c r="BD53" s="59"/>
      <c r="BE53" s="70"/>
      <c r="BF53" s="23"/>
      <c r="BG53" s="77"/>
      <c r="BI53" s="23"/>
      <c r="BJ53" s="59"/>
      <c r="BK53" s="78"/>
      <c r="BL53" s="23"/>
      <c r="BM53" s="59"/>
      <c r="BO53" s="23"/>
      <c r="BP53" s="59"/>
    </row>
    <row r="54" spans="1:68" x14ac:dyDescent="0.25">
      <c r="A54" s="22" t="s">
        <v>146</v>
      </c>
      <c r="B54" s="22" t="s">
        <v>146</v>
      </c>
      <c r="C54" s="27">
        <f>C53-(C6+C15+C19+C28+C31+C35+C36+C37+C30+C32)</f>
        <v>405231.03964299988</v>
      </c>
      <c r="D54" s="27">
        <f t="shared" ref="D54:G54" si="26">D53-(D6+D15+D19+D28+D31+D35+D36+D37+D30+D32)</f>
        <v>411019.44588015997</v>
      </c>
      <c r="E54" s="27">
        <f t="shared" si="26"/>
        <v>451201.40067300003</v>
      </c>
      <c r="F54" s="27">
        <f t="shared" si="26"/>
        <v>471723.245742</v>
      </c>
      <c r="G54" s="27">
        <f t="shared" si="26"/>
        <v>489300.36395899992</v>
      </c>
      <c r="H54" s="40"/>
      <c r="I54" s="27">
        <f>I53-(I6+I15+I19+I28+I31+I35+I36+I37+I30+I32)</f>
        <v>125553.25657400003</v>
      </c>
      <c r="J54" s="27">
        <f t="shared" ref="J54:M54" si="27">J53-(J6+J15+J19+J28+J31+J35+J36+J37+J30+J32)</f>
        <v>124230.34158889002</v>
      </c>
      <c r="K54" s="27">
        <f t="shared" si="27"/>
        <v>130013.632425</v>
      </c>
      <c r="L54" s="27">
        <f t="shared" si="27"/>
        <v>125541.78948400002</v>
      </c>
      <c r="M54" s="27">
        <f t="shared" si="27"/>
        <v>124837.61773600003</v>
      </c>
      <c r="O54" s="27">
        <f>O53-(O6+O15+O19+O28+O31+O35+O36+O37+O30+O32)</f>
        <v>319236.74789200001</v>
      </c>
      <c r="P54" s="27">
        <f t="shared" ref="P54:S54" si="28">P53-(P6+P15+P19+P28+P31+P35+P36+P37+P30+P32)</f>
        <v>322869.96171541989</v>
      </c>
      <c r="Q54" s="27">
        <f t="shared" si="28"/>
        <v>330968.30037081992</v>
      </c>
      <c r="R54" s="27">
        <f t="shared" si="28"/>
        <v>341648.828225</v>
      </c>
      <c r="S54" s="27">
        <f t="shared" si="28"/>
        <v>351323.02178999991</v>
      </c>
      <c r="T54" s="40"/>
      <c r="U54" s="27">
        <f>U53-(U6+U15+U19+U28+U31+U35+U36+U37+U30+U32)</f>
        <v>1075131.968042</v>
      </c>
      <c r="V54" s="27">
        <f t="shared" ref="V54:Y54" si="29">V53-(V6+V15+V19+V28+V31+V35+V36+V37+V30+V32)</f>
        <v>1100890.3486200001</v>
      </c>
      <c r="W54" s="27">
        <f t="shared" si="29"/>
        <v>1162608.0408372197</v>
      </c>
      <c r="X54" s="27">
        <f t="shared" si="29"/>
        <v>1186869.150776</v>
      </c>
      <c r="Y54" s="27">
        <f t="shared" si="29"/>
        <v>1209347.2873879999</v>
      </c>
      <c r="Z54" s="59"/>
      <c r="AC54" s="79" t="s">
        <v>146</v>
      </c>
      <c r="AD54" s="24">
        <f>MEDIAN(AD3:AD52)</f>
        <v>0.30810990602028637</v>
      </c>
      <c r="AE54" s="24">
        <f>MEDIAN(AE3:AE52)</f>
        <v>7.3010461827299604</v>
      </c>
      <c r="AF54" s="24">
        <f>MEDIAN(AF3:AF52)</f>
        <v>3.7566952821189972</v>
      </c>
      <c r="AG54" s="97">
        <f>MEDIAN(AG3:AG52)</f>
        <v>2.616091954022993</v>
      </c>
      <c r="AH54" s="24"/>
      <c r="AI54" s="24">
        <f>MEDIAN(AI3:AI52)</f>
        <v>-1.0073897107146119</v>
      </c>
      <c r="AJ54" s="24">
        <f>MEDIAN(AJ3:AJ52)</f>
        <v>-3.4266525626939526</v>
      </c>
      <c r="AK54" s="24">
        <f>MEDIAN(AK3:AK52)</f>
        <v>-4.2790659377897278</v>
      </c>
      <c r="AL54" s="97">
        <f>MEDIAN(AL3:AL52)</f>
        <v>0.2999519738068368</v>
      </c>
      <c r="AN54" s="24">
        <f>MEDIAN(AN3:AN52)</f>
        <v>1.1242559411776478</v>
      </c>
      <c r="AO54" s="24">
        <f>MEDIAN(AO3:AO52)</f>
        <v>2.4795912700616425</v>
      </c>
      <c r="AP54" s="24">
        <f>MEDIAN(AP3:AP52)</f>
        <v>3.2100825568213609</v>
      </c>
      <c r="AQ54" s="24">
        <f>MEDIAN(AQ3:AQ52)</f>
        <v>2.8903696787063371</v>
      </c>
      <c r="AS54" s="24">
        <f>MEDIAN(AS3:AS52)</f>
        <v>2.0618149277293831</v>
      </c>
      <c r="AT54" s="24">
        <f>MEDIAN(AT3:AT52)</f>
        <v>3.4452806588273299</v>
      </c>
      <c r="AU54" s="24">
        <f>MEDIAN(AU3:AU52)</f>
        <v>0.70979367704238838</v>
      </c>
      <c r="AV54" s="24">
        <f>MEDIAN(AV3:AV52)</f>
        <v>2.210590475741101</v>
      </c>
      <c r="AW54" s="24"/>
      <c r="AX54" s="24"/>
      <c r="AY54" s="24"/>
      <c r="BE54" s="70"/>
    </row>
    <row r="55" spans="1:68" x14ac:dyDescent="0.25">
      <c r="J55" s="80"/>
      <c r="K55" s="80"/>
      <c r="L55" s="80"/>
      <c r="M55" s="80"/>
      <c r="P55" s="9"/>
      <c r="Q55" s="9"/>
      <c r="R55" s="9"/>
      <c r="S55" s="9"/>
      <c r="V55" s="2"/>
      <c r="W55" s="50"/>
      <c r="X55" s="50"/>
      <c r="Y55" s="50"/>
      <c r="AY55" s="22"/>
      <c r="BE55" s="22"/>
      <c r="BG55" s="59"/>
      <c r="BH55" s="59"/>
      <c r="BJ55" s="59"/>
      <c r="BK55" s="22"/>
      <c r="BM55" s="59"/>
      <c r="BP55" s="59"/>
    </row>
    <row r="56" spans="1:68" x14ac:dyDescent="0.25">
      <c r="I56" s="28"/>
      <c r="O56" s="9"/>
      <c r="P56" s="9"/>
      <c r="Q56" s="9"/>
      <c r="R56" s="9"/>
      <c r="S56" s="9"/>
      <c r="T56" s="9"/>
      <c r="U56" s="9"/>
      <c r="V56" s="9"/>
      <c r="W56" s="69"/>
      <c r="X56" s="82"/>
      <c r="Y56" s="82"/>
    </row>
    <row r="57" spans="1:68" x14ac:dyDescent="0.25">
      <c r="C57" s="83"/>
      <c r="D57" s="83"/>
      <c r="E57" s="83"/>
      <c r="F57" s="83"/>
      <c r="G57" s="83"/>
      <c r="I57" s="83"/>
      <c r="J57" s="83"/>
      <c r="K57" s="83"/>
      <c r="L57" s="83"/>
      <c r="M57" s="83"/>
      <c r="O57" s="9"/>
      <c r="P57" s="9"/>
      <c r="Q57" s="9"/>
      <c r="R57" s="9"/>
      <c r="S57" s="9"/>
      <c r="T57" s="9"/>
      <c r="U57" s="9"/>
      <c r="V57" s="9"/>
      <c r="W57" s="9"/>
      <c r="X57" s="84"/>
      <c r="Y57" s="84"/>
      <c r="AC57" s="81" t="s">
        <v>163</v>
      </c>
      <c r="AD57" s="2">
        <f>COUNTIF(AD3:AD52,"&gt;0")</f>
        <v>16</v>
      </c>
      <c r="AE57" s="2">
        <f>COUNTIF(AE3:AE52,"&gt;0")</f>
        <v>26</v>
      </c>
      <c r="AF57" s="2">
        <f>COUNTIF(AF3:AF52,"&gt;0")</f>
        <v>22</v>
      </c>
      <c r="AG57" s="2">
        <f>COUNTIF(AG3:AG52,"&gt;0")</f>
        <v>29</v>
      </c>
      <c r="AI57" s="2">
        <f>COUNTIF(AI3:AI52,"&gt;0")</f>
        <v>16</v>
      </c>
      <c r="AJ57" s="2">
        <f>COUNTIF(AJ3:AJ52,"&gt;0")</f>
        <v>13</v>
      </c>
      <c r="AK57" s="2">
        <f>COUNTIF(AK3:AK52,"&gt;0")</f>
        <v>12</v>
      </c>
      <c r="AL57" s="2">
        <f>COUNTIF(AL3:AL52,"&gt;0")</f>
        <v>18</v>
      </c>
      <c r="AN57" s="2">
        <f>COUNTIF(AN3:AN52,"&gt;0")</f>
        <v>27</v>
      </c>
      <c r="AO57" s="2">
        <f>COUNTIF(AO3:AO52,"&gt;0")</f>
        <v>31</v>
      </c>
      <c r="AP57" s="2">
        <f>COUNTIF(AP3:AP52,"&gt;0")</f>
        <v>32</v>
      </c>
      <c r="AQ57" s="2">
        <f>COUNTIF(AQ3:AQ52,"&gt;0")</f>
        <v>37</v>
      </c>
      <c r="AS57" s="2">
        <f>COUNTIF(AS3:AS52,"&gt;0")</f>
        <v>30</v>
      </c>
      <c r="AT57" s="2">
        <f>COUNTIF(AT3:AT52,"&gt;0")</f>
        <v>32</v>
      </c>
      <c r="AU57" s="2">
        <f>COUNTIF(AU3:AU52,"&gt;0")</f>
        <v>23</v>
      </c>
      <c r="AV57" s="2">
        <f>COUNTIF(AV3:AV52,"&gt;0")</f>
        <v>32</v>
      </c>
    </row>
    <row r="58" spans="1:68" x14ac:dyDescent="0.25">
      <c r="C58" s="85"/>
      <c r="D58" s="85"/>
      <c r="E58" s="85"/>
      <c r="O58" s="9"/>
      <c r="P58" s="9"/>
      <c r="Q58" s="9"/>
      <c r="R58" s="9"/>
      <c r="S58" s="9"/>
      <c r="T58" s="9"/>
      <c r="U58" s="9"/>
      <c r="V58" s="9"/>
      <c r="W58" s="9"/>
      <c r="X58" s="80"/>
      <c r="Y58" s="80"/>
      <c r="AC58" s="81" t="s">
        <v>164</v>
      </c>
      <c r="AD58" s="2">
        <f>COUNTIF(AD3:AD52,"&lt;0")</f>
        <v>15</v>
      </c>
      <c r="AE58" s="2">
        <f>COUNTIF(AE3:AE52,"&lt;0")</f>
        <v>5</v>
      </c>
      <c r="AF58" s="2">
        <f>COUNTIF(AF3:AF52,"&lt;0")</f>
        <v>9</v>
      </c>
      <c r="AG58" s="2">
        <f>COUNTIF(AG3:AG52,"&lt;0")</f>
        <v>2</v>
      </c>
      <c r="AI58" s="2">
        <f>COUNTIF(AI3:AI52,"&lt;0")</f>
        <v>18</v>
      </c>
      <c r="AJ58" s="2">
        <f>COUNTIF(AJ3:AJ52,"&lt;0")</f>
        <v>21</v>
      </c>
      <c r="AK58" s="2">
        <f>COUNTIF(AK3:AK52,"&lt;0")</f>
        <v>22</v>
      </c>
      <c r="AL58" s="2">
        <f>COUNTIF(AL3:AL52,"&lt;0")</f>
        <v>15</v>
      </c>
      <c r="AN58" s="2">
        <f>COUNTIF(AN3:AN52,"&lt;0")</f>
        <v>10</v>
      </c>
      <c r="AO58" s="2">
        <f>COUNTIF(AO3:AO52,"&lt;0")</f>
        <v>6</v>
      </c>
      <c r="AP58" s="2">
        <f>COUNTIF(AP3:AP52,"&lt;0")</f>
        <v>5</v>
      </c>
      <c r="AQ58" s="2">
        <f>COUNTIF(AQ3:AQ52,"&lt;0")</f>
        <v>0</v>
      </c>
      <c r="AS58" s="2">
        <f>COUNTIF(AS3:AS52,"&lt;0")</f>
        <v>10</v>
      </c>
      <c r="AT58" s="2">
        <f>COUNTIF(AT3:AT52,"&lt;0")</f>
        <v>8</v>
      </c>
      <c r="AU58" s="2">
        <f>COUNTIF(AU3:AU52,"&lt;0")</f>
        <v>17</v>
      </c>
      <c r="AV58" s="2">
        <f>COUNTIF(AV3:AV52,"&lt;0")</f>
        <v>8</v>
      </c>
    </row>
    <row r="59" spans="1:68" x14ac:dyDescent="0.25">
      <c r="A59" s="2" t="s">
        <v>166</v>
      </c>
      <c r="B59" s="85">
        <f>COUNTA(B3:B52)</f>
        <v>50</v>
      </c>
      <c r="C59" s="9"/>
      <c r="D59" s="9"/>
      <c r="E59" s="9"/>
      <c r="F59" s="9"/>
      <c r="G59" s="85">
        <f>COUNTA(G3:G52)</f>
        <v>40</v>
      </c>
      <c r="M59" s="85">
        <f>COUNTA(M3:M52)</f>
        <v>40</v>
      </c>
      <c r="N59" s="22"/>
      <c r="O59" s="9"/>
      <c r="P59" s="9"/>
      <c r="Q59" s="9"/>
      <c r="R59" s="9"/>
      <c r="S59" s="85">
        <f>COUNTA(S3:S52)</f>
        <v>40</v>
      </c>
      <c r="T59" s="9"/>
      <c r="U59" s="9"/>
      <c r="V59" s="9"/>
      <c r="W59" s="9"/>
      <c r="X59" s="80"/>
      <c r="Y59" s="85">
        <f>COUNTA(Y3:Y52)</f>
        <v>40</v>
      </c>
      <c r="AC59" s="81" t="s">
        <v>24</v>
      </c>
      <c r="AD59" s="2">
        <f>COUNTIF(AD3:AD52,"=n/a")</f>
        <v>9</v>
      </c>
      <c r="AE59" s="2">
        <f>COUNTIF(AE3:AE52,"=n/a")</f>
        <v>9</v>
      </c>
      <c r="AF59" s="2">
        <f>COUNTIF(AF3:AF52,"=n/a")</f>
        <v>9</v>
      </c>
      <c r="AG59" s="2">
        <f>COUNTIF(AG3:AG52,"=n/a")</f>
        <v>9</v>
      </c>
      <c r="AI59" s="2">
        <f>COUNTIF(AI3:AI52,"=n/a")</f>
        <v>6</v>
      </c>
      <c r="AJ59" s="2">
        <f>COUNTIF(AJ3:AJ52,"=n/a")</f>
        <v>6</v>
      </c>
      <c r="AK59" s="2">
        <f>COUNTIF(AK3:AK52,"=n/a")</f>
        <v>6</v>
      </c>
      <c r="AL59" s="2">
        <f>COUNTIF(AL3:AL52,"=n/a")</f>
        <v>6</v>
      </c>
      <c r="AN59" s="2">
        <f>COUNTIF(AN3:AN52,"=n/a")</f>
        <v>3</v>
      </c>
      <c r="AO59" s="2">
        <f>COUNTIF(AO3:AO52,"=n/a")</f>
        <v>3</v>
      </c>
      <c r="AP59" s="2">
        <f>COUNTIF(AP3:AP52,"=n/a")</f>
        <v>3</v>
      </c>
      <c r="AQ59" s="2">
        <f>COUNTIF(AQ3:AQ52,"=n/a")</f>
        <v>3</v>
      </c>
      <c r="AS59" s="2">
        <f>COUNTIF(AS3:AS52,"=n/a")</f>
        <v>0</v>
      </c>
      <c r="AT59" s="2">
        <f>COUNTIF(AT3:AT52,"=n/a")</f>
        <v>0</v>
      </c>
      <c r="AU59" s="2">
        <f>COUNTIF(AU3:AU52,"=n/a")</f>
        <v>0</v>
      </c>
      <c r="AV59" s="2">
        <f>COUNTIF(AV3:AV52,"=n/a")</f>
        <v>0</v>
      </c>
    </row>
    <row r="60" spans="1:68" x14ac:dyDescent="0.25">
      <c r="A60" s="85" t="s">
        <v>165</v>
      </c>
      <c r="B60" s="85">
        <f>COUNT(B3:B52)</f>
        <v>0</v>
      </c>
      <c r="E60" s="80"/>
      <c r="G60" s="85">
        <f>COUNT(G3:G52)</f>
        <v>34</v>
      </c>
      <c r="M60" s="85">
        <f>COUNT(M3:M52)</f>
        <v>37</v>
      </c>
      <c r="O60" s="9"/>
      <c r="P60" s="9"/>
      <c r="Q60" s="9"/>
      <c r="R60" s="9"/>
      <c r="S60" s="85">
        <f>COUNT(S3:S52)</f>
        <v>37</v>
      </c>
      <c r="T60" s="9"/>
      <c r="U60" s="9"/>
      <c r="V60" s="9"/>
      <c r="W60" s="9"/>
      <c r="X60" s="80"/>
      <c r="Y60" s="85">
        <f>COUNT(Y3:Y52)</f>
        <v>40</v>
      </c>
      <c r="AD60" s="2">
        <f>SUM(AD57:AD59)</f>
        <v>40</v>
      </c>
      <c r="AE60" s="2">
        <f t="shared" ref="AE60:AJ60" si="30">SUM(AE57:AE59)</f>
        <v>40</v>
      </c>
      <c r="AF60" s="2">
        <f>SUM(AF57:AF59)</f>
        <v>40</v>
      </c>
      <c r="AG60" s="2">
        <f>SUM(AG57:AG59)</f>
        <v>40</v>
      </c>
      <c r="AI60" s="2">
        <f t="shared" si="30"/>
        <v>40</v>
      </c>
      <c r="AJ60" s="2">
        <f t="shared" si="30"/>
        <v>40</v>
      </c>
      <c r="AK60" s="2">
        <f>SUM(AK57:AK59)</f>
        <v>40</v>
      </c>
      <c r="AL60" s="2">
        <f>SUM(AL57:AL59)</f>
        <v>39</v>
      </c>
      <c r="AN60" s="2">
        <f>SUM(AN57:AN59)</f>
        <v>40</v>
      </c>
      <c r="AO60" s="2">
        <f>SUM(AO57:AO59)</f>
        <v>40</v>
      </c>
      <c r="AP60" s="2">
        <f>SUM(AP57:AP59)</f>
        <v>40</v>
      </c>
      <c r="AQ60" s="2">
        <f>SUM(AQ57:AQ59)</f>
        <v>40</v>
      </c>
      <c r="AS60" s="2">
        <f>SUM(AS57:AS59)</f>
        <v>40</v>
      </c>
      <c r="AT60" s="2">
        <f>SUM(AT57:AT59)</f>
        <v>40</v>
      </c>
      <c r="AU60" s="2">
        <f>SUM(AU57:AU59)</f>
        <v>40</v>
      </c>
      <c r="AV60" s="2">
        <f>SUM(AV57:AV59)</f>
        <v>40</v>
      </c>
    </row>
    <row r="61" spans="1:68" x14ac:dyDescent="0.25">
      <c r="G61" s="9" t="s">
        <v>24</v>
      </c>
      <c r="O61" s="9"/>
      <c r="P61" s="9"/>
      <c r="Q61" s="9"/>
      <c r="R61" s="9"/>
      <c r="S61" s="9"/>
      <c r="T61" s="9"/>
      <c r="U61" s="9"/>
      <c r="V61" s="9"/>
      <c r="W61" s="9"/>
    </row>
    <row r="62" spans="1:68" x14ac:dyDescent="0.25">
      <c r="A62" s="2" t="s">
        <v>167</v>
      </c>
      <c r="B62" s="2" t="s">
        <v>168</v>
      </c>
      <c r="G62" s="28" t="s">
        <v>168</v>
      </c>
      <c r="M62" s="28" t="s">
        <v>168</v>
      </c>
      <c r="O62" s="9"/>
      <c r="P62" s="9"/>
      <c r="Q62" s="9"/>
      <c r="R62" s="9"/>
      <c r="S62" s="28" t="s">
        <v>168</v>
      </c>
      <c r="T62" s="9"/>
      <c r="U62" s="9"/>
      <c r="V62" s="9"/>
      <c r="W62" s="9"/>
      <c r="AC62" s="51" t="s">
        <v>169</v>
      </c>
    </row>
    <row r="63" spans="1:68" ht="14.3" x14ac:dyDescent="0.25">
      <c r="O63" s="9"/>
      <c r="P63" s="9"/>
      <c r="Q63" s="9"/>
      <c r="R63" s="9"/>
      <c r="S63" s="9"/>
      <c r="T63" s="9"/>
      <c r="U63" s="9"/>
      <c r="V63" s="9"/>
      <c r="W63" s="9"/>
      <c r="AC63" s="98" t="s">
        <v>170</v>
      </c>
      <c r="AD63" s="90"/>
      <c r="AE63" s="90"/>
      <c r="AF63" s="90"/>
      <c r="AG63" s="99">
        <v>2.6</v>
      </c>
      <c r="AH63" s="90"/>
      <c r="AI63" s="90"/>
      <c r="AJ63" s="90"/>
      <c r="AK63" s="90"/>
      <c r="AL63" s="99">
        <v>0.5</v>
      </c>
      <c r="AM63" s="90"/>
      <c r="AN63" s="90"/>
      <c r="AO63" s="90"/>
      <c r="AP63" s="90"/>
      <c r="AQ63" s="99">
        <v>2.9</v>
      </c>
      <c r="AY63" s="60"/>
    </row>
    <row r="64" spans="1:68" x14ac:dyDescent="0.25">
      <c r="O64" s="9"/>
      <c r="P64" s="9"/>
      <c r="Q64" s="9"/>
      <c r="R64" s="9"/>
      <c r="S64" s="9"/>
      <c r="T64" s="9"/>
      <c r="U64" s="9"/>
      <c r="V64" s="9"/>
      <c r="W64" s="9"/>
      <c r="X64" s="80"/>
      <c r="Y64" s="80"/>
      <c r="AC64" s="76"/>
      <c r="AD64" s="77"/>
      <c r="AE64" s="70"/>
      <c r="AF64" s="70"/>
      <c r="AG64" s="70"/>
      <c r="AY64" s="60"/>
    </row>
    <row r="65" spans="15:51" x14ac:dyDescent="0.25">
      <c r="O65" s="9"/>
      <c r="P65" s="9"/>
      <c r="Q65" s="9"/>
      <c r="R65" s="9"/>
      <c r="S65" s="9"/>
      <c r="T65" s="9"/>
      <c r="U65" s="9"/>
      <c r="V65" s="9"/>
      <c r="W65" s="9"/>
      <c r="Z65" s="50"/>
      <c r="AA65" s="50"/>
      <c r="AC65" s="79" t="s">
        <v>171</v>
      </c>
      <c r="AD65" s="24"/>
      <c r="AE65" s="24"/>
      <c r="AF65" s="24"/>
      <c r="AG65" s="24"/>
      <c r="AH65" s="28"/>
      <c r="AI65" s="3"/>
      <c r="AJ65" s="3"/>
      <c r="AK65" s="3"/>
      <c r="AL65" s="3"/>
      <c r="AM65" s="28"/>
      <c r="AN65" s="3"/>
      <c r="AO65" s="3"/>
      <c r="AP65" s="3"/>
      <c r="AQ65" s="3"/>
      <c r="AR65" s="28"/>
      <c r="AS65" s="3"/>
      <c r="AT65" s="3"/>
      <c r="AU65" s="3"/>
      <c r="AV65" s="3"/>
      <c r="AW65" s="3"/>
      <c r="AY65" s="60"/>
    </row>
    <row r="66" spans="15:51" x14ac:dyDescent="0.25">
      <c r="O66" s="9"/>
      <c r="P66" s="9"/>
      <c r="Q66" s="9"/>
      <c r="R66" s="9"/>
      <c r="S66" s="9"/>
      <c r="T66" s="9"/>
      <c r="U66" s="9"/>
      <c r="V66" s="9"/>
      <c r="W66" s="9"/>
      <c r="X66" s="50"/>
      <c r="Y66" s="50"/>
      <c r="Z66" s="50"/>
      <c r="AA66" s="50"/>
      <c r="AC66" s="53" t="s">
        <v>173</v>
      </c>
      <c r="AD66" s="6"/>
      <c r="AE66" s="6"/>
      <c r="AG66" s="2" t="s">
        <v>172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Y66" s="60"/>
    </row>
    <row r="67" spans="15:51" x14ac:dyDescent="0.25">
      <c r="W67" s="50"/>
      <c r="X67" s="50"/>
      <c r="Y67" s="50"/>
      <c r="Z67" s="50"/>
      <c r="AA67" s="50"/>
      <c r="AC67" s="22" t="s">
        <v>174</v>
      </c>
      <c r="AD67" s="24"/>
      <c r="AE67" s="24"/>
      <c r="AG67" s="2" t="s">
        <v>175</v>
      </c>
      <c r="AH67" s="77"/>
      <c r="AL67" s="2" t="s">
        <v>175</v>
      </c>
      <c r="AM67" s="22"/>
      <c r="AQ67" s="2" t="s">
        <v>175</v>
      </c>
      <c r="AR67" s="22"/>
      <c r="AY67" s="60"/>
    </row>
    <row r="68" spans="15:51" x14ac:dyDescent="0.25">
      <c r="AC68" s="2"/>
      <c r="AD68" s="24"/>
      <c r="AE68" s="24"/>
      <c r="AH68" s="24"/>
      <c r="AY68" s="60"/>
    </row>
    <row r="69" spans="15:51" x14ac:dyDescent="0.25">
      <c r="Q69" s="80"/>
      <c r="Z69" s="80"/>
      <c r="AC69" s="2"/>
      <c r="AD69" s="24"/>
      <c r="AE69" s="24"/>
      <c r="AY69" s="60"/>
    </row>
    <row r="70" spans="15:51" x14ac:dyDescent="0.25">
      <c r="Q70" s="80"/>
      <c r="Z70" s="80"/>
      <c r="AC70" s="2"/>
      <c r="AY70" s="60"/>
    </row>
    <row r="71" spans="15:51" x14ac:dyDescent="0.25">
      <c r="Q71" s="80"/>
      <c r="Z71" s="80"/>
      <c r="AY71" s="60"/>
    </row>
    <row r="72" spans="15:51" x14ac:dyDescent="0.25">
      <c r="Q72" s="80"/>
      <c r="Z72" s="80"/>
      <c r="AY72" s="60"/>
    </row>
    <row r="73" spans="15:51" x14ac:dyDescent="0.25">
      <c r="Q73" s="80"/>
      <c r="Z73" s="80"/>
      <c r="AY73" s="60"/>
    </row>
    <row r="74" spans="15:51" x14ac:dyDescent="0.25">
      <c r="Q74" s="80"/>
      <c r="Z74" s="80"/>
      <c r="AY74" s="60"/>
    </row>
    <row r="75" spans="15:51" x14ac:dyDescent="0.25">
      <c r="Q75" s="80"/>
      <c r="Z75" s="9"/>
      <c r="AA75" s="9"/>
      <c r="AY75" s="60"/>
    </row>
    <row r="76" spans="15:51" x14ac:dyDescent="0.25">
      <c r="Q76" s="80"/>
      <c r="Z76" s="9"/>
      <c r="AA76" s="9"/>
      <c r="AY76" s="60"/>
    </row>
  </sheetData>
  <hyperlinks>
    <hyperlink ref="A5" r:id="rId1" xr:uid="{91A3C5E5-CFDB-4B25-BC56-252AE4A227E5}"/>
    <hyperlink ref="A4" r:id="rId2" xr:uid="{15BE4F58-BA0A-40FB-8837-B72A96DA95D5}"/>
    <hyperlink ref="A7" r:id="rId3" xr:uid="{74E0AE24-6BF0-4D8D-9BEB-EDE26E966DE7}"/>
    <hyperlink ref="A12" r:id="rId4" xr:uid="{1E00705D-F0EE-48E4-89FA-AEE67205DBA4}"/>
    <hyperlink ref="A15" r:id="rId5" xr:uid="{B2527FD6-B5A2-48A4-8AC7-E2A9CE0AB190}"/>
    <hyperlink ref="A24" r:id="rId6" xr:uid="{268CDB3D-C713-4E35-9DA8-DBAF550205E7}"/>
    <hyperlink ref="A10" r:id="rId7" xr:uid="{27A8B3C0-63C5-4255-B193-DA182B691AEE}"/>
    <hyperlink ref="A29" r:id="rId8" xr:uid="{2205002B-E038-4EAD-9ED1-B20DBA82F696}"/>
    <hyperlink ref="A32" r:id="rId9" xr:uid="{6D60ECB2-CB96-402A-9096-587D2FE5BB1C}"/>
    <hyperlink ref="A19" r:id="rId10" xr:uid="{23FFCB92-111F-4903-90B4-B4DCE180F195}"/>
    <hyperlink ref="A33" r:id="rId11" xr:uid="{5F8AE40D-C47E-4F39-BEAA-E5837D37088A}"/>
    <hyperlink ref="A13" r:id="rId12" xr:uid="{8E992B01-7ECD-413B-AA5B-691203847509}"/>
    <hyperlink ref="A14" r:id="rId13" xr:uid="{DDB3F125-E1E2-43BC-89C5-764B15DFCD2F}"/>
    <hyperlink ref="A17" r:id="rId14" xr:uid="{6B80624F-8642-4E57-84DC-F85B13B85FB4}"/>
    <hyperlink ref="A21" r:id="rId15" xr:uid="{E728BDDE-9FC6-4218-B231-B859EEAD1CCA}"/>
    <hyperlink ref="A50" r:id="rId16" xr:uid="{91C2B5A8-C871-4CDC-98A5-F98CF8D99634}"/>
    <hyperlink ref="A26" r:id="rId17" xr:uid="{F062044D-8E17-47A8-A0CE-0367627DF05B}"/>
    <hyperlink ref="A36" r:id="rId18" xr:uid="{9A5AE92F-5FCE-4B4E-8957-BFDDC6D518DD}"/>
    <hyperlink ref="A11" r:id="rId19" xr:uid="{BA32D6BA-85AE-437A-A8DE-1789632B0E9B}"/>
    <hyperlink ref="A9" r:id="rId20" xr:uid="{3CC3A87B-4B3B-4C94-827B-5105B60B2E8A}"/>
    <hyperlink ref="A35" r:id="rId21" xr:uid="{BB7E4427-1902-4705-88EB-9DD8197CB7A3}"/>
    <hyperlink ref="A25" r:id="rId22" xr:uid="{DD469538-7864-44D7-8A5D-35FADE710B87}"/>
    <hyperlink ref="A27" r:id="rId23" xr:uid="{A69D3368-5F28-4E41-AA5E-F6B76588EB31}"/>
    <hyperlink ref="A8" r:id="rId24" xr:uid="{881F7A17-048A-4A20-90A5-06EF366DBFB8}"/>
    <hyperlink ref="A16" r:id="rId25" xr:uid="{1DFFA8B2-439A-4370-9F8D-74E405C8B2F9}"/>
    <hyperlink ref="A34" r:id="rId26" xr:uid="{0C0BA993-5D6F-43B1-A386-D1A0692265AB}"/>
    <hyperlink ref="A38" r:id="rId27" xr:uid="{E13FB19D-26E8-4516-8595-51DC76BE94FD}"/>
    <hyperlink ref="A39" r:id="rId28" xr:uid="{835BBCBC-62B6-4842-8DB6-A492CCD4CCC9}"/>
    <hyperlink ref="A41" r:id="rId29" location="section1" xr:uid="{38C9860E-E3C1-434E-9785-663C0B2A5908}"/>
    <hyperlink ref="A42" r:id="rId30" xr:uid="{47392208-016A-4D73-B20D-19048B0713B0}"/>
    <hyperlink ref="A43" r:id="rId31" xr:uid="{56AB0169-F44D-47E9-A274-3DD0AC315134}"/>
    <hyperlink ref="A45" r:id="rId32" xr:uid="{DB86F5BA-C493-4A53-97B2-4DF7B18A0BD3}"/>
    <hyperlink ref="A47" r:id="rId33" xr:uid="{899F0DD4-A95D-4C12-B6DD-189504AAD2A8}"/>
    <hyperlink ref="A48" r:id="rId34" xr:uid="{8B5FC4FF-F2A3-42B5-98BA-5FB1D6A1CC70}"/>
    <hyperlink ref="A52" r:id="rId35" xr:uid="{9E17BFC7-8B75-4D7E-9060-B55FA9238C1E}"/>
    <hyperlink ref="A51" r:id="rId36" xr:uid="{C4165E2D-FA83-4BC4-9041-8FBF2A3B93EF}"/>
    <hyperlink ref="A44" r:id="rId37" xr:uid="{7B44A944-4575-4051-81D0-31136E40A121}"/>
    <hyperlink ref="A18" r:id="rId38" xr:uid="{476C9959-1C46-4397-A8A7-AE1BBA9E37B1}"/>
    <hyperlink ref="A20" r:id="rId39" xr:uid="{FEFDBF4D-6199-4976-BBC6-B58E3D224826}"/>
    <hyperlink ref="A30" r:id="rId40" xr:uid="{0CEA684C-C65B-4FD0-A3DC-EB92794E86BA}"/>
    <hyperlink ref="A31" r:id="rId41" xr:uid="{C6F5939E-2A2D-4CA4-973F-01E5CB57CBA6}"/>
    <hyperlink ref="A22" r:id="rId42" xr:uid="{1E029EF4-8B54-4D1A-86A4-0DE61DDE6087}"/>
    <hyperlink ref="A28" r:id="rId43" xr:uid="{487C071B-CF05-4756-970D-64BAF171C53E}"/>
    <hyperlink ref="A49" r:id="rId44" xr:uid="{6D997150-AB45-43BF-8D0E-8C3AC6E55B96}"/>
    <hyperlink ref="A3" r:id="rId45" xr:uid="{980F04C4-43C7-4CF0-BBCC-342F4959DB63}"/>
    <hyperlink ref="A23" r:id="rId46" xr:uid="{6DF94943-4AEA-4B55-BBF1-3F91FBC43C4A}"/>
    <hyperlink ref="A6" r:id="rId47" xr:uid="{BCEC566B-F0E4-4C94-8834-6AA87DA693E0}"/>
    <hyperlink ref="A37" r:id="rId48" xr:uid="{C2490542-31E1-446D-9E72-F23444498065}"/>
    <hyperlink ref="A46" r:id="rId49" xr:uid="{0FB07D95-15DD-4F9A-AC85-E6A9CE23FA2E}"/>
    <hyperlink ref="A40" r:id="rId50" xr:uid="{A5C00584-2318-4F57-A3C3-61F57F7D6D12}"/>
  </hyperlinks>
  <pageMargins left="0.7" right="0.7" top="0.75" bottom="0.75" header="0.3" footer="0.3"/>
  <pageSetup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Actual</vt:lpstr>
      <vt:lpstr>Forecasts</vt:lpstr>
      <vt:lpstr>Forecasts_Feb2026</vt:lpstr>
      <vt:lpstr>Actual!cafr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Dadayan</dc:creator>
  <cp:lastModifiedBy>Don Boyd</cp:lastModifiedBy>
  <dcterms:created xsi:type="dcterms:W3CDTF">2026-02-16T17:41:08Z</dcterms:created>
  <dcterms:modified xsi:type="dcterms:W3CDTF">2026-02-23T23:04:52Z</dcterms:modified>
</cp:coreProperties>
</file>